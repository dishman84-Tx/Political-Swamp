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Index" sheetId="2" state="visible" r:id="rId2"/>
    <sheet xmlns:r="http://schemas.openxmlformats.org/officeDocument/2006/relationships" name="Agenda &amp; Media Leads" sheetId="3" state="visible" r:id="rId3"/>
    <sheet xmlns:r="http://schemas.openxmlformats.org/officeDocument/2006/relationships" name="Visual Evidence Register" sheetId="4" state="visible" r:id="rId4"/>
    <sheet xmlns:r="http://schemas.openxmlformats.org/officeDocument/2006/relationships" name="TPIA Request List" sheetId="5" state="visible" r:id="rId5"/>
    <sheet xmlns:r="http://schemas.openxmlformats.org/officeDocument/2006/relationships" name="Drive Tracker Inventory" sheetId="6" state="visible" r:id="rId6"/>
    <sheet xmlns:r="http://schemas.openxmlformats.org/officeDocument/2006/relationships" name="Validation Rules" sheetId="7" state="visible" r:id="rId7"/>
    <sheet xmlns:r="http://schemas.openxmlformats.org/officeDocument/2006/relationships" name="Import Queue" sheetId="8" state="visible" r:id="rId8"/>
    <sheet xmlns:r="http://schemas.openxmlformats.org/officeDocument/2006/relationships" name="Officials &amp; Network" sheetId="9" state="visible" r:id="rId9"/>
  </sheets>
  <definedNames/>
</workbook>
</file>

<file path=xl/styles.xml><?xml version="1.0" encoding="utf-8"?>
<styleSheet xmlns="http://schemas.openxmlformats.org/spreadsheetml/2006/main">
  <numFmts count="1">
    <numFmt numFmtId="164" formatCode="yyyy-mm-dd"/>
  </numFmts>
  <fonts count="4">
    <font>
      <name val="Carlito"/>
      <sz val="11"/>
    </font>
    <font>
      <name val="Carlito"/>
      <b val="1"/>
      <color rgb="00FFFFFF"/>
      <sz val="16"/>
    </font>
    <font>
      <name val="Carlito"/>
      <b val="1"/>
      <color rgb="00FFFFFF"/>
      <sz val="11"/>
    </font>
    <font>
      <name val="Carlito"/>
      <b val="1"/>
      <color rgb="0092400E"/>
      <sz val="11"/>
    </font>
  </fonts>
  <fills count="8">
    <fill>
      <patternFill/>
    </fill>
    <fill>
      <patternFill patternType="gray125"/>
    </fill>
    <fill>
      <patternFill patternType="solid">
        <fgColor rgb="00111827"/>
      </patternFill>
    </fill>
    <fill>
      <patternFill patternType="solid">
        <fgColor rgb="00374151"/>
      </patternFill>
    </fill>
    <fill>
      <patternFill patternType="solid">
        <fgColor rgb="00FEF3C7"/>
      </patternFill>
    </fill>
    <fill>
      <patternFill patternType="solid">
        <fgColor rgb="000F766E"/>
      </patternFill>
    </fill>
    <fill>
      <patternFill patternType="solid">
        <fgColor rgb="001D4ED8"/>
      </patternFill>
    </fill>
    <fill>
      <patternFill patternType="solid">
        <fgColor rgb="007C2D12"/>
      </patternFill>
    </fill>
  </fills>
  <borders count="2">
    <border/>
    <border/>
  </borders>
  <cellStyleXfs count="1">
    <xf numFmtId="0" fontId="0" fillId="0" borderId="1"/>
  </cellStyleXfs>
  <cellXfs count="5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164" fontId="0" fillId="0" borderId="0" pivotButton="0" quotePrefix="0" xfId="0"/>
    <xf numFmtId="164" fontId="0" fillId="0"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1" fillId="2" borderId="0" applyAlignment="1" pivotButton="0" quotePrefix="0" xfId="0">
      <alignment horizontal="center" wrapText="1"/>
    </xf>
    <xf numFmtId="0" fontId="0" fillId="0" borderId="0" applyAlignment="1" pivotButton="0" quotePrefix="0" xfId="0">
      <alignment wrapText="1"/>
    </xf>
    <xf numFmtId="0" fontId="1" fillId="2" borderId="1" applyAlignment="1" pivotButton="0" quotePrefix="0" xfId="0">
      <alignment horizontal="center" wrapText="1"/>
    </xf>
    <xf numFmtId="0" fontId="0" fillId="0" borderId="1"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horizontal="center"/>
    </xf>
    <xf numFmtId="0" fontId="0" fillId="5" borderId="1" pivotButton="0" quotePrefix="0" xfId="0"/>
    <xf numFmtId="0" fontId="2" fillId="5" borderId="1" pivotButton="0" quotePrefix="0" xfId="0"/>
    <xf numFmtId="0" fontId="2" fillId="5" borderId="1" applyAlignment="1" pivotButton="0" quotePrefix="0" xfId="0">
      <alignment horizontal="center"/>
    </xf>
    <xf numFmtId="0" fontId="2" fillId="5" borderId="0" applyAlignment="1" pivotButton="0" quotePrefix="0" xfId="0">
      <alignment horizontal="center" wrapText="1"/>
    </xf>
    <xf numFmtId="0" fontId="2" fillId="5" borderId="1" applyAlignment="1" pivotButton="0" quotePrefix="0" xfId="0">
      <alignment horizontal="center" wrapText="1"/>
    </xf>
    <xf numFmtId="0" fontId="0" fillId="6" borderId="0" pivotButton="0" quotePrefix="0" xfId="0"/>
    <xf numFmtId="0" fontId="2" fillId="6" borderId="0" pivotButton="0" quotePrefix="0" xfId="0"/>
    <xf numFmtId="0" fontId="2" fillId="6" borderId="0" applyAlignment="1" pivotButton="0" quotePrefix="0" xfId="0">
      <alignment horizontal="center"/>
    </xf>
    <xf numFmtId="0" fontId="0" fillId="6" borderId="1" pivotButton="0" quotePrefix="0" xfId="0"/>
    <xf numFmtId="0" fontId="2" fillId="6" borderId="1" pivotButton="0" quotePrefix="0" xfId="0"/>
    <xf numFmtId="0" fontId="2" fillId="6" borderId="1" applyAlignment="1" pivotButton="0" quotePrefix="0" xfId="0">
      <alignment horizontal="center"/>
    </xf>
    <xf numFmtId="0" fontId="2" fillId="6" borderId="0" applyAlignment="1" pivotButton="0" quotePrefix="0" xfId="0">
      <alignment horizontal="center" wrapText="1"/>
    </xf>
    <xf numFmtId="0" fontId="2" fillId="6" borderId="1" applyAlignment="1" pivotButton="0" quotePrefix="0" xfId="0">
      <alignment horizontal="center" wrapText="1"/>
    </xf>
    <xf numFmtId="0" fontId="0" fillId="7" borderId="0" pivotButton="0" quotePrefix="0" xfId="0"/>
    <xf numFmtId="0" fontId="2" fillId="7" borderId="0" pivotButton="0" quotePrefix="0" xfId="0"/>
    <xf numFmtId="0" fontId="2" fillId="7" borderId="0" applyAlignment="1" pivotButton="0" quotePrefix="0" xfId="0">
      <alignment horizontal="center"/>
    </xf>
    <xf numFmtId="0" fontId="0" fillId="7" borderId="1" pivotButton="0" quotePrefix="0" xfId="0"/>
    <xf numFmtId="0" fontId="2" fillId="7" borderId="1" pivotButton="0" quotePrefix="0" xfId="0"/>
    <xf numFmtId="0" fontId="2" fillId="7" borderId="1" applyAlignment="1" pivotButton="0" quotePrefix="0" xfId="0">
      <alignment horizontal="center"/>
    </xf>
    <xf numFmtId="0" fontId="2" fillId="7" borderId="0" applyAlignment="1" pivotButton="0" quotePrefix="0" xfId="0">
      <alignment horizontal="center" wrapText="1"/>
    </xf>
    <xf numFmtId="0" fontId="2" fillId="7" borderId="1" applyAlignment="1" pivotButton="0" quotePrefix="0" xfId="0">
      <alignment horizontal="center" wrapText="1"/>
    </xf>
    <xf numFmtId="0" fontId="2" fillId="3" borderId="0" applyAlignment="1" pivotButton="0" quotePrefix="0" xfId="0">
      <alignment wrapText="1"/>
    </xf>
    <xf numFmtId="0" fontId="2" fillId="3" borderId="1" applyAlignment="1" pivotButton="0" quotePrefix="0" xfId="0">
      <alignment wrapText="1"/>
    </xf>
    <xf numFmtId="164" fontId="0" fillId="0" borderId="0" pivotButton="0" quotePrefix="0" xfId="0"/>
  </cellXfs>
  <cellStyles count="1">
    <cellStyle name="Normal" xfId="0"/>
  </cellStyles>
  <dxfs count="2">
    <dxf>
      <font>
        <b val="1"/>
        <color rgb="00B91C1C"/>
      </font>
    </dxf>
    <dxf>
      <font>
        <b val="1"/>
        <color rgb="00B45309"/>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MasterIndexTable" displayName="MasterIndexTable" ref="A1:J39" headerRowCount="1">
  <tableColumns count="10">
    <tableColumn id="1" name="Master ID"/>
    <tableColumn id="2" name="Source Class"/>
    <tableColumn id="3" name="Source / Tracker"/>
    <tableColumn id="4" name="Date"/>
    <tableColumn id="5" name="Issue Lane"/>
    <tableColumn id="6" name="Entity / Office"/>
    <tableColumn id="7" name="Record / Finding"/>
    <tableColumn id="8" name="Evidence Status"/>
    <tableColumn id="9" name="Priority"/>
    <tableColumn id="10" name="Next Merge Action"/>
  </tableColumns>
  <tableStyleInfo name="TableStyleMedium2" showRowStripes="1"/>
</table>
</file>

<file path=xl/tables/table2.xml><?xml version="1.0" encoding="utf-8"?>
<table xmlns="http://schemas.openxmlformats.org/spreadsheetml/2006/main" id="2" name="AgendaMediaTable" displayName="AgendaMediaTable" ref="A1:M17" headerRowCount="1">
  <tableColumns count="13">
    <tableColumn id="1" name="ID"/>
    <tableColumn id="2" name="Source Outlet"/>
    <tableColumn id="3" name="Published / Event Date"/>
    <tableColumn id="4" name="Title / Record"/>
    <tableColumn id="5" name="Issue Lane"/>
    <tableColumn id="6" name="Entities / Offices Mentioned"/>
    <tableColumn id="7" name="Agenda / Decision Hook"/>
    <tableColumn id="8" name="Pattern Tag"/>
    <tableColumn id="9" name="Evidence Status"/>
    <tableColumn id="10" name="Priority"/>
    <tableColumn id="11" name="Follow-up Record Needed"/>
    <tableColumn id="12" name="Source URL"/>
    <tableColumn id="13" name="Notes"/>
  </tableColumns>
  <tableStyleInfo name="TableStyleMedium2" showRowStripes="1"/>
</table>
</file>

<file path=xl/tables/table3.xml><?xml version="1.0" encoding="utf-8"?>
<table xmlns="http://schemas.openxmlformats.org/spreadsheetml/2006/main" id="3" name="VisualEvidenceTable" displayName="VisualEvidenceTable" ref="A1:F6" headerRowCount="1">
  <tableColumns count="6">
    <tableColumn id="1" name="Visual ID"/>
    <tableColumn id="2" name="Pattern Layer"/>
    <tableColumn id="3" name="Documented Basis"/>
    <tableColumn id="4" name="Public Anchor"/>
    <tableColumn id="5" name="Evidence Status"/>
    <tableColumn id="6" name="Next Record Needed"/>
  </tableColumns>
  <tableStyleInfo name="TableStyleMedium2" showRowStripes="1"/>
</table>
</file>

<file path=xl/tables/table4.xml><?xml version="1.0" encoding="utf-8"?>
<table xmlns="http://schemas.openxmlformats.org/spreadsheetml/2006/main" id="4" name="TPIARequestTable" displayName="TPIARequestTable" ref="A1:C8" headerRowCount="1">
  <tableColumns count="3">
    <tableColumn id="1" name="Repository / Custodian"/>
    <tableColumn id="2" name="Request Target"/>
    <tableColumn id="3" name="Why It Matters"/>
  </tableColumns>
  <tableStyleInfo name="TableStyleMedium2" showRowStripes="1"/>
</table>
</file>

<file path=xl/tables/table5.xml><?xml version="1.0" encoding="utf-8"?>
<table xmlns="http://schemas.openxmlformats.org/spreadsheetml/2006/main" id="5" name="DriveInventoryTable" displayName="DriveInventoryTable" ref="A1:G11" headerRowCount="1">
  <tableColumns count="7">
    <tableColumn id="1" name="Drive ID / Ref"/>
    <tableColumn id="2" name="Title"/>
    <tableColumn id="3" name="File Type"/>
    <tableColumn id="4" name="Created / Updated"/>
    <tableColumn id="5" name="Evidence Located"/>
    <tableColumn id="6" name="Merge Status"/>
    <tableColumn id="7" name="Action"/>
  </tableColumns>
  <tableStyleInfo name="TableStyleMedium2" showRowStripes="1"/>
</table>
</file>

<file path=xl/tables/table6.xml><?xml version="1.0" encoding="utf-8"?>
<table xmlns="http://schemas.openxmlformats.org/spreadsheetml/2006/main" id="6" name="ValidationRulesTable" displayName="ValidationRulesTable" ref="A1:D7" headerRowCount="1">
  <tableColumns count="4">
    <tableColumn id="1" name="Pattern"/>
    <tableColumn id="2" name="Media Lead Alone Is Enough?"/>
    <tableColumn id="3" name="Minimum Confirmation Package"/>
    <tableColumn id="4" name="Upgrade Rule"/>
  </tableColumns>
  <tableStyleInfo name="TableStyleMedium2" showRowStripes="1"/>
</table>
</file>

<file path=xl/tables/table7.xml><?xml version="1.0" encoding="utf-8"?>
<table xmlns="http://schemas.openxmlformats.org/spreadsheetml/2006/main" id="7" name="ImportQueueTable" displayName="ImportQueueTable" ref="A1:F7" headerRowCount="1">
  <tableColumns count="6">
    <tableColumn id="1" name="Queue ID"/>
    <tableColumn id="2" name="Source File"/>
    <tableColumn id="3" name="Target Tab"/>
    <tableColumn id="4" name="Import Method"/>
    <tableColumn id="5" name="Status"/>
    <tableColumn id="6" name="Owner / Next Step"/>
  </tableColumns>
  <tableStyleInfo name="TableStyleMedium2" showRowStripes="1"/>
</table>
</file>

<file path=xl/tables/table8.xml><?xml version="1.0" encoding="utf-8"?>
<table xmlns="http://schemas.openxmlformats.org/spreadsheetml/2006/main" id="8" name="OfficialsNetworkTable" displayName="OfficialsNetworkTable" ref="A1:H2" headerRowCount="1">
  <tableColumns count="8">
    <tableColumn id="1" name="Person / Entity"/>
    <tableColumn id="2" name="Surname"/>
    <tableColumn id="3" name="Role / Office"/>
    <tableColumn id="4" name="Jurisdiction"/>
    <tableColumn id="5" name="Source Tracker"/>
    <tableColumn id="6" name="Relationship / Note"/>
    <tableColumn id="7" name="Evidence Status"/>
    <tableColumn id="8" name="Source URL / Drive Ref"/>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8" customWidth="1" min="1" max="1"/>
    <col width="18" customWidth="1" min="2" max="2"/>
    <col width="36" customWidth="1" min="4" max="4"/>
    <col width="24" customWidth="1" min="5" max="5"/>
    <col width="24" customWidth="1" min="6" max="6"/>
    <col width="24" customWidth="1" min="7" max="7"/>
    <col width="24" customWidth="1" min="8" max="8"/>
    <col width="24" customWidth="1" min="9" max="9"/>
    <col width="24" customWidth="1" min="10" max="10"/>
  </cols>
  <sheetData>
    <row r="1">
      <c r="A1" s="22" t="inlineStr">
        <is>
          <t>Liberty County / Colony Ridge Combined Tracker Master</t>
        </is>
      </c>
      <c r="B1" s="1" t="n"/>
      <c r="C1" s="1" t="n"/>
      <c r="D1" s="1" t="n"/>
      <c r="E1" s="1" t="n"/>
      <c r="F1" s="1" t="n"/>
      <c r="G1" s="1" t="n"/>
      <c r="H1" s="1" t="n"/>
      <c r="I1" s="1" t="n"/>
      <c r="J1" s="1" t="n"/>
    </row>
    <row r="3">
      <c r="A3" s="9" t="inlineStr">
        <is>
          <t>Metric</t>
        </is>
      </c>
      <c r="B3" s="9" t="inlineStr">
        <is>
          <t>Value</t>
        </is>
      </c>
      <c r="D3" s="19" t="inlineStr">
        <is>
          <t>Status: Combined workbook created from current local tracker files + Drive-discovered legacy tracker inventory. Full legacy row import is pending because only search snippets/metadata were available in this session.</t>
        </is>
      </c>
      <c r="E3" s="1" t="n"/>
      <c r="F3" s="1" t="n"/>
      <c r="G3" s="1" t="n"/>
      <c r="H3" s="1" t="n"/>
      <c r="I3" s="1" t="n"/>
      <c r="J3" s="1" t="n"/>
    </row>
    <row r="4">
      <c r="A4" t="inlineStr">
        <is>
          <t>Master index rows</t>
        </is>
      </c>
      <c r="B4">
        <f>COUNTA('Master Index'!A2:A500)</f>
        <v/>
      </c>
    </row>
    <row r="5">
      <c r="A5" t="inlineStr">
        <is>
          <t>Agenda/media rows</t>
        </is>
      </c>
      <c r="B5">
        <f>COUNTA('Agenda &amp; Media Leads'!A2:A500)</f>
        <v/>
      </c>
      <c r="D5" s="9" t="inlineStr">
        <is>
          <t>Priority Merge Order</t>
        </is>
      </c>
      <c r="E5" s="9" t="inlineStr">
        <is>
          <t>Why</t>
        </is>
      </c>
    </row>
    <row r="6">
      <c r="A6" t="inlineStr">
        <is>
          <t>Visual evidence rows</t>
        </is>
      </c>
      <c r="B6">
        <f>COUNTA('Visual Evidence Register'!A2:A500)</f>
        <v/>
      </c>
      <c r="D6" t="inlineStr">
        <is>
          <t>1. Liberty_Officials_Obituary_Tracker_FINAL</t>
        </is>
      </c>
      <c r="E6" t="inlineStr">
        <is>
          <t>Name/office/network backbone; should feed Officials &amp; Network tab.</t>
        </is>
      </c>
    </row>
    <row r="7">
      <c r="A7" t="inlineStr">
        <is>
          <t>TPIA request rows</t>
        </is>
      </c>
      <c r="B7">
        <f>COUNTA('TPIA Request List'!A2:A500)</f>
        <v/>
      </c>
      <c r="D7" t="inlineStr">
        <is>
          <t>2. colony ridge 060626 703.</t>
        </is>
      </c>
      <c r="E7" t="inlineStr">
        <is>
          <t>Appears to reference complete investigation trackers, entity logs, physical property filings, and visual proof.</t>
        </is>
      </c>
    </row>
    <row r="8">
      <c r="A8" t="inlineStr">
        <is>
          <t>Drive-discovered items</t>
        </is>
      </c>
      <c r="B8">
        <f>COUNTA('Drive Tracker Inventory'!A2:A500)</f>
        <v/>
      </c>
      <c r="D8" t="inlineStr">
        <is>
          <t>3. Liberty County / MUD 15 reports</t>
        </is>
      </c>
      <c r="E8" t="inlineStr">
        <is>
          <t>Special-district and bond/election issue extraction.</t>
        </is>
      </c>
    </row>
    <row r="9">
      <c r="A9" t="inlineStr">
        <is>
          <t>Critical priority rows</t>
        </is>
      </c>
      <c r="B9">
        <f>COUNTIF('Master Index'!I2:I500,"Critical")</f>
        <v/>
      </c>
      <c r="D9" t="inlineStr">
        <is>
          <t>4. Commissioners meeting notes</t>
        </is>
      </c>
      <c r="E9" t="inlineStr">
        <is>
          <t>Meeting action extraction and agenda/minutes matching.</t>
        </is>
      </c>
    </row>
    <row r="10">
      <c r="A10" t="inlineStr">
        <is>
          <t>High priority rows</t>
        </is>
      </c>
      <c r="B10">
        <f>COUNTIF('Master Index'!I2:I500,"High")</f>
        <v/>
      </c>
      <c r="D10" t="inlineStr">
        <is>
          <t>5. New agenda/media tracker</t>
        </is>
      </c>
      <c r="E10" t="inlineStr">
        <is>
          <t>Current source-monitoring mechanism and public-source lead queue.</t>
        </is>
      </c>
    </row>
    <row r="11">
      <c r="A11" t="inlineStr">
        <is>
          <t>Rows needing import/validation</t>
        </is>
      </c>
      <c r="B11">
        <f>COUNTIF('Master Index'!H2:H500,"*needs*")+COUNTIF('Master Index'!H2:H500,"Discovered*")+COUNTIF('Master Index'!H2:H500,"Hypothesis*")</f>
        <v/>
      </c>
    </row>
    <row r="12">
      <c r="A12" t="inlineStr">
        <is>
          <t>Last combined</t>
        </is>
      </c>
      <c r="B12" s="50" t="n">
        <v>46181</v>
      </c>
    </row>
  </sheetData>
  <mergeCells count="2">
    <mergeCell ref="D3:J3"/>
    <mergeCell ref="A1:J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500"/>
  <sheetViews>
    <sheetView workbookViewId="0">
      <selection activeCell="A1" sqref="A1"/>
    </sheetView>
  </sheetViews>
  <sheetFormatPr baseColWidth="8" defaultRowHeight="15"/>
  <cols>
    <col width="14" customWidth="1" min="1" max="1"/>
    <col width="24" customWidth="1" min="2" max="2"/>
    <col width="34" customWidth="1" min="3" max="3"/>
    <col width="14" customWidth="1" min="4" max="4"/>
    <col width="28" customWidth="1" min="5" max="5"/>
    <col width="36" customWidth="1" min="6" max="6"/>
    <col width="52" customWidth="1" min="7" max="7"/>
    <col width="24" customWidth="1" min="8" max="8"/>
    <col width="14" customWidth="1" min="9" max="9"/>
    <col width="52" customWidth="1" min="10" max="10"/>
  </cols>
  <sheetData>
    <row r="1">
      <c r="A1" s="30" t="inlineStr">
        <is>
          <t>Master ID</t>
        </is>
      </c>
      <c r="B1" s="30" t="inlineStr">
        <is>
          <t>Source Class</t>
        </is>
      </c>
      <c r="C1" s="30" t="inlineStr">
        <is>
          <t>Source / Tracker</t>
        </is>
      </c>
      <c r="D1" s="30" t="inlineStr">
        <is>
          <t>Date</t>
        </is>
      </c>
      <c r="E1" s="30" t="inlineStr">
        <is>
          <t>Issue Lane</t>
        </is>
      </c>
      <c r="F1" s="30" t="inlineStr">
        <is>
          <t>Entity / Office</t>
        </is>
      </c>
      <c r="G1" s="30" t="inlineStr">
        <is>
          <t>Record / Finding</t>
        </is>
      </c>
      <c r="H1" s="30" t="inlineStr">
        <is>
          <t>Evidence Status</t>
        </is>
      </c>
      <c r="I1" s="30" t="inlineStr">
        <is>
          <t>Priority</t>
        </is>
      </c>
      <c r="J1" s="30" t="inlineStr">
        <is>
          <t>Next Merge Action</t>
        </is>
      </c>
    </row>
    <row r="2">
      <c r="A2" t="inlineStr">
        <is>
          <t>PA-001</t>
        </is>
      </c>
      <c r="B2" t="inlineStr">
        <is>
          <t>Media / Public Source</t>
        </is>
      </c>
      <c r="C2" t="inlineStr">
        <is>
          <t>Bluebonnet News</t>
        </is>
      </c>
      <c r="D2" s="50" t="n">
        <v>45370</v>
      </c>
      <c r="E2" t="inlineStr">
        <is>
          <t>Enforcement / Developer Practices</t>
        </is>
      </c>
      <c r="F2" t="inlineStr">
        <is>
          <t>Texas AG; Colony Ridge; Liberty County</t>
        </is>
      </c>
      <c r="G2" t="inlineStr">
        <is>
          <t>Texas Attorney General sues Colony Ridge development for deceptive practices and fraud</t>
        </is>
      </c>
      <c r="H2" t="inlineStr">
        <is>
          <t>Public-source finding</t>
        </is>
      </c>
      <c r="I2" t="inlineStr">
        <is>
          <t>High</t>
        </is>
      </c>
      <c r="J2" t="inlineStr">
        <is>
          <t>Original AG petition; docket filings; settlement order; sales docs; flood-risk disclosures</t>
        </is>
      </c>
    </row>
    <row r="3">
      <c r="A3" t="inlineStr">
        <is>
          <t>PA-002</t>
        </is>
      </c>
      <c r="B3" t="inlineStr">
        <is>
          <t>Media / Public Source</t>
        </is>
      </c>
      <c r="C3" t="inlineStr">
        <is>
          <t>Bluebonnet News</t>
        </is>
      </c>
      <c r="D3" s="50" t="n">
        <v>45531</v>
      </c>
      <c r="E3" t="inlineStr">
        <is>
          <t>County Procurement / Infrastructure</t>
        </is>
      </c>
      <c r="F3" t="inlineStr">
        <is>
          <t>Liberty County Commissioners Court; White Construction; Burns Architecture; Sheriff; Constable Pct. 6; Permits Department</t>
        </is>
      </c>
      <c r="G3" t="inlineStr">
        <is>
          <t>Liberty County approves $4.677 million contract for new Northwest Annex in Colony Ridge communities</t>
        </is>
      </c>
      <c r="H3" t="inlineStr">
        <is>
          <t>Public-source finding</t>
        </is>
      </c>
      <c r="I3" t="inlineStr">
        <is>
          <t>High</t>
        </is>
      </c>
      <c r="J3" t="inlineStr">
        <is>
          <t>Commissioners agenda packet; minutes; executed contract; bid tab; Form 1295; payment/warrant history; change orders</t>
        </is>
      </c>
    </row>
    <row r="4">
      <c r="A4" t="inlineStr">
        <is>
          <t>PA-003</t>
        </is>
      </c>
      <c r="B4" t="inlineStr">
        <is>
          <t>Media / Public Source</t>
        </is>
      </c>
      <c r="C4" t="inlineStr">
        <is>
          <t>Bluebonnet News</t>
        </is>
      </c>
      <c r="D4" s="50" t="n">
        <v>45714</v>
      </c>
      <c r="E4" t="inlineStr">
        <is>
          <t>Law Enforcement / Public Safety</t>
        </is>
      </c>
      <c r="F4" t="inlineStr">
        <is>
          <t>ICE; Colony Ridge; Liberty County; multi-agency enforcement</t>
        </is>
      </c>
      <c r="G4" t="inlineStr">
        <is>
          <t>ICE targets Colony Ridge, arrests 118 in major sweep</t>
        </is>
      </c>
      <c r="H4" t="inlineStr">
        <is>
          <t>Public-source finding</t>
        </is>
      </c>
      <c r="I4" t="inlineStr">
        <is>
          <t>Medium</t>
        </is>
      </c>
      <c r="J4" t="inlineStr">
        <is>
          <t>ICE release; DPS/LCSO support records; local resource costs; Commissioners public-safety agenda items</t>
        </is>
      </c>
    </row>
    <row r="5">
      <c r="A5" t="inlineStr">
        <is>
          <t>PA-004</t>
        </is>
      </c>
      <c r="B5" t="inlineStr">
        <is>
          <t>Media / Public Source</t>
        </is>
      </c>
      <c r="C5" t="inlineStr">
        <is>
          <t>Bluebonnet News</t>
        </is>
      </c>
      <c r="D5" s="50" t="n">
        <v>45887</v>
      </c>
      <c r="E5" t="inlineStr">
        <is>
          <t>County Operations / Capital Spending</t>
        </is>
      </c>
      <c r="F5" t="inlineStr">
        <is>
          <t>Liberty County Commissioners Court; Sheriff Bobby Rader; Texas Commission on Jail Standards</t>
        </is>
      </c>
      <c r="G5" t="inlineStr">
        <is>
          <t>Commissioners hear updates on county jail, approve land purchase</t>
        </is>
      </c>
      <c r="H5" t="inlineStr">
        <is>
          <t>Public-source finding</t>
        </is>
      </c>
      <c r="I5" t="inlineStr">
        <is>
          <t>Medium</t>
        </is>
      </c>
      <c r="J5" t="inlineStr">
        <is>
          <t>Agenda/minutes; land purchase deed/contract; jail commission deficiency reports; warrants payable</t>
        </is>
      </c>
    </row>
    <row r="6">
      <c r="A6" t="inlineStr">
        <is>
          <t>PA-005</t>
        </is>
      </c>
      <c r="B6" t="inlineStr">
        <is>
          <t>Media / Public Source</t>
        </is>
      </c>
      <c r="C6" t="inlineStr">
        <is>
          <t>Bluebonnet News</t>
        </is>
      </c>
      <c r="D6" s="50" t="n">
        <v>45924</v>
      </c>
      <c r="E6" t="inlineStr">
        <is>
          <t>Tax / Budget / County Finance</t>
        </is>
      </c>
      <c r="F6" t="inlineStr">
        <is>
          <t>Liberty County Commissioners Court; County Judge Jay Knight</t>
        </is>
      </c>
      <c r="G6" t="inlineStr">
        <is>
          <t>Liberty County commissioners approve budget, tax rate for new fiscal year</t>
        </is>
      </c>
      <c r="H6" t="inlineStr">
        <is>
          <t>Public-source finding</t>
        </is>
      </c>
      <c r="I6" t="inlineStr">
        <is>
          <t>High</t>
        </is>
      </c>
      <c r="J6" t="inlineStr">
        <is>
          <t>Adopted budget; tax rate worksheets; hearing notices; department budget changes; capital project list</t>
        </is>
      </c>
    </row>
    <row r="7">
      <c r="A7" t="inlineStr">
        <is>
          <t>PA-006</t>
        </is>
      </c>
      <c r="B7" t="inlineStr">
        <is>
          <t>Media / Public Source</t>
        </is>
      </c>
      <c r="C7" t="inlineStr">
        <is>
          <t>The Vindicator</t>
        </is>
      </c>
      <c r="D7" s="50" t="n">
        <v>45687</v>
      </c>
      <c r="E7" t="inlineStr">
        <is>
          <t>Drainage / Engineering / Floodplain</t>
        </is>
      </c>
      <c r="F7" t="inlineStr">
        <is>
          <t>Liberty County Commissioners Court; LJA Engineering; Harris County</t>
        </is>
      </c>
      <c r="G7" t="inlineStr">
        <is>
          <t>Master Drainage Plan coming along</t>
        </is>
      </c>
      <c r="H7" t="inlineStr">
        <is>
          <t>Public-source finding</t>
        </is>
      </c>
      <c r="I7" t="inlineStr">
        <is>
          <t>High</t>
        </is>
      </c>
      <c r="J7" t="inlineStr">
        <is>
          <t>Workshop video/minutes; LJA contract; scope; invoices; Harris County minimum requirements; floodplain ordinance updates</t>
        </is>
      </c>
    </row>
    <row r="8">
      <c r="A8" t="inlineStr">
        <is>
          <t>PA-007</t>
        </is>
      </c>
      <c r="B8" t="inlineStr">
        <is>
          <t>Media / Public Source</t>
        </is>
      </c>
      <c r="C8" t="inlineStr">
        <is>
          <t>The Vindicator</t>
        </is>
      </c>
      <c r="D8" s="50" t="n">
        <v>46010</v>
      </c>
      <c r="E8" t="inlineStr">
        <is>
          <t>Litigation / Settlement</t>
        </is>
      </c>
      <c r="F8" t="inlineStr">
        <is>
          <t>CFPB; United States; Colony Ridge Development; Southern District of Texas</t>
        </is>
      </c>
      <c r="G8" t="inlineStr">
        <is>
          <t>Colony Ridge settles lawsuit</t>
        </is>
      </c>
      <c r="H8" t="inlineStr">
        <is>
          <t>Public-source finding</t>
        </is>
      </c>
      <c r="I8" t="inlineStr">
        <is>
          <t>High</t>
        </is>
      </c>
      <c r="J8" t="inlineStr">
        <is>
          <t>Joint status report; proposed consent order; final order; settlement compliance monitor reports</t>
        </is>
      </c>
    </row>
    <row r="9">
      <c r="A9" t="inlineStr">
        <is>
          <t>PA-008</t>
        </is>
      </c>
      <c r="B9" t="inlineStr">
        <is>
          <t>Media / Public Source</t>
        </is>
      </c>
      <c r="C9" t="inlineStr">
        <is>
          <t>Houston Chronicle</t>
        </is>
      </c>
      <c r="D9" s="50" t="n">
        <v>45712</v>
      </c>
      <c r="E9" t="inlineStr">
        <is>
          <t>Background / Development Scale / Politics</t>
        </is>
      </c>
      <c r="F9" t="inlineStr">
        <is>
          <t>Colony Ridge; John Harris; Trey Harris; Cleveland ISD; Liberty County</t>
        </is>
      </c>
      <c r="G9" t="inlineStr">
        <is>
          <t>What is Colony Ridge and why is it controversial?</t>
        </is>
      </c>
      <c r="H9" t="inlineStr">
        <is>
          <t>Public-source finding</t>
        </is>
      </c>
      <c r="I9" t="inlineStr">
        <is>
          <t>Medium</t>
        </is>
      </c>
      <c r="J9" t="inlineStr">
        <is>
          <t>Chronicle analysis; CISD enrollment data; bond election records; tax-base data; developer land records</t>
        </is>
      </c>
    </row>
    <row r="10">
      <c r="A10" t="inlineStr">
        <is>
          <t>PA-009</t>
        </is>
      </c>
      <c r="B10" t="inlineStr">
        <is>
          <t>Media / Public Source</t>
        </is>
      </c>
      <c r="C10" t="inlineStr">
        <is>
          <t>Houston Chronicle</t>
        </is>
      </c>
      <c r="D10" s="50" t="n">
        <v>46113</v>
      </c>
      <c r="E10" t="inlineStr">
        <is>
          <t>Settlement / Civil Rights / Enforcement</t>
        </is>
      </c>
      <c r="F10" t="inlineStr">
        <is>
          <t>Colony Ridge; DOJ; State of Texas; civil rights groups; National Fair Housing Alliance</t>
        </is>
      </c>
      <c r="G10" t="inlineStr">
        <is>
          <t>Developers urge court to accept Colony Ridge settlement despite civil rights objections</t>
        </is>
      </c>
      <c r="H10" t="inlineStr">
        <is>
          <t>Public-source finding</t>
        </is>
      </c>
      <c r="I10" t="inlineStr">
        <is>
          <t>High</t>
        </is>
      </c>
      <c r="J10" t="inlineStr">
        <is>
          <t>Court hearing transcript; objections; proposed/final order; DOJ/State filings; compliance plan</t>
        </is>
      </c>
    </row>
    <row r="11">
      <c r="A11" t="inlineStr">
        <is>
          <t>PA-010</t>
        </is>
      </c>
      <c r="B11" t="inlineStr">
        <is>
          <t>Media / Public Source</t>
        </is>
      </c>
      <c r="C11" t="inlineStr">
        <is>
          <t>Houston Chronicle</t>
        </is>
      </c>
      <c r="D11" s="50" t="n">
        <v>45992</v>
      </c>
      <c r="E11" t="inlineStr">
        <is>
          <t>Floodplain / Drainage / Development Standards</t>
        </is>
      </c>
      <c r="F11" t="inlineStr">
        <is>
          <t>Greater Houston counties; Liberty County; Colony Ridge; Harris County</t>
        </is>
      </c>
      <c r="G11" t="inlineStr">
        <is>
          <t>As Houston developers take advantage of floodplain loopholes, homeowners pay the price</t>
        </is>
      </c>
      <c r="H11" t="inlineStr">
        <is>
          <t>Public-source finding</t>
        </is>
      </c>
      <c r="I11" t="inlineStr">
        <is>
          <t>High</t>
        </is>
      </c>
      <c r="J11" t="inlineStr">
        <is>
          <t>County floodplain rules; drainage studies; permits; TCEQ files; engineering reports; homeowner complaints</t>
        </is>
      </c>
    </row>
    <row r="12">
      <c r="A12" t="inlineStr">
        <is>
          <t>PA-011</t>
        </is>
      </c>
      <c r="B12" t="inlineStr">
        <is>
          <t>Media / Public Source</t>
        </is>
      </c>
      <c r="C12" t="inlineStr">
        <is>
          <t>Houston Chronicle / iPublish Marketplace</t>
        </is>
      </c>
      <c r="D12" s="50" t="n">
        <v>45817</v>
      </c>
      <c r="E12" t="inlineStr">
        <is>
          <t>Bids / MMD / Infrastructure</t>
        </is>
      </c>
      <c r="F12" t="inlineStr">
        <is>
          <t>Colony Ridge Development; Liberty County MMD No. 1; San Marcos Drive</t>
        </is>
      </c>
      <c r="G12" t="inlineStr">
        <is>
          <t>Public notice: Colony Ridge Development / Liberty County MMD No. 1 bids for San Marcos Drive reconstruction</t>
        </is>
      </c>
      <c r="H12" t="inlineStr">
        <is>
          <t>Public notice</t>
        </is>
      </c>
      <c r="I12" t="inlineStr">
        <is>
          <t>High</t>
        </is>
      </c>
      <c r="J12" t="inlineStr">
        <is>
          <t>Bid documents; planholders list; awarded contract; board minutes; engineer estimate; payment applications</t>
        </is>
      </c>
    </row>
    <row r="13">
      <c r="A13" t="inlineStr">
        <is>
          <t>PA-012</t>
        </is>
      </c>
      <c r="B13" t="inlineStr">
        <is>
          <t>Media / Public Source</t>
        </is>
      </c>
      <c r="C13" t="inlineStr">
        <is>
          <t>Houston Chronicle / iPublish Marketplace</t>
        </is>
      </c>
      <c r="D13" s="50" t="n">
        <v>45583</v>
      </c>
      <c r="E13" t="inlineStr">
        <is>
          <t>MUD Governance / Public Hearing</t>
        </is>
      </c>
      <c r="F13" t="inlineStr">
        <is>
          <t>Liberty County MUD No. 14; Schwartz, Page &amp; Harding</t>
        </is>
      </c>
      <c r="G13" t="inlineStr">
        <is>
          <t>Notice to property owners within Liberty County MUD No. 14</t>
        </is>
      </c>
      <c r="H13" t="inlineStr">
        <is>
          <t>Public notice</t>
        </is>
      </c>
      <c r="I13" t="inlineStr">
        <is>
          <t>Medium</t>
        </is>
      </c>
      <c r="J13" t="inlineStr">
        <is>
          <t>Hearing notice backup; board minutes; agenda; engineer report; tax/bond notices; district map</t>
        </is>
      </c>
    </row>
    <row r="14">
      <c r="A14" t="inlineStr">
        <is>
          <t>PA-013</t>
        </is>
      </c>
      <c r="B14" t="inlineStr">
        <is>
          <t>Media / Public Source</t>
        </is>
      </c>
      <c r="C14" t="inlineStr">
        <is>
          <t>Montgomery County Police Reporter</t>
        </is>
      </c>
      <c r="D14" s="50" t="n">
        <v>46054</v>
      </c>
      <c r="E14" t="inlineStr">
        <is>
          <t>Enforcement / Political Messaging</t>
        </is>
      </c>
      <c r="F14" t="inlineStr">
        <is>
          <t>Texas AG; DOJ; Colony Ridge</t>
        </is>
      </c>
      <c r="G14" t="inlineStr">
        <is>
          <t>AG Paxton secures major victory stopping Colony Ridge and forcing developers to pay $68 million</t>
        </is>
      </c>
      <c r="H14" t="inlineStr">
        <is>
          <t>Public-source finding</t>
        </is>
      </c>
      <c r="I14" t="inlineStr">
        <is>
          <t>Medium</t>
        </is>
      </c>
      <c r="J14" t="inlineStr">
        <is>
          <t>DOJ settlement release; Texas AG release; final order; exact settlement terms</t>
        </is>
      </c>
    </row>
    <row r="15">
      <c r="A15" t="inlineStr">
        <is>
          <t>PA-014</t>
        </is>
      </c>
      <c r="B15" t="inlineStr">
        <is>
          <t>Media / Public Source</t>
        </is>
      </c>
      <c r="C15" t="inlineStr">
        <is>
          <t>Montgomery County Police Reporter</t>
        </is>
      </c>
      <c r="D15" s="50" t="n">
        <v>45712</v>
      </c>
      <c r="E15" t="inlineStr">
        <is>
          <t>Law Enforcement / Public Safety</t>
        </is>
      </c>
      <c r="F15" t="inlineStr">
        <is>
          <t>ICE; Colony Ridge; Governor Abbott; Liberty County</t>
        </is>
      </c>
      <c r="G15" t="inlineStr">
        <is>
          <t>ICE hits Colony Ridge hard</t>
        </is>
      </c>
      <c r="H15" t="inlineStr">
        <is>
          <t>Public-source finding</t>
        </is>
      </c>
      <c r="I15" t="inlineStr">
        <is>
          <t>Low/Medium</t>
        </is>
      </c>
      <c r="J15" t="inlineStr">
        <is>
          <t>ICE/DHS release; DPS/LCSO records; local cost or mutual-aid documentation</t>
        </is>
      </c>
    </row>
    <row r="16">
      <c r="A16" t="inlineStr">
        <is>
          <t>PA-015</t>
        </is>
      </c>
      <c r="B16" t="inlineStr">
        <is>
          <t>Media / Public Source</t>
        </is>
      </c>
      <c r="C16" t="inlineStr">
        <is>
          <t>DOJ Civil Rights Division</t>
        </is>
      </c>
      <c r="D16" s="50" t="n">
        <v>46054</v>
      </c>
      <c r="E16" t="inlineStr">
        <is>
          <t>Primary Enforcement / Settlement</t>
        </is>
      </c>
      <c r="F16" t="inlineStr">
        <is>
          <t>DOJ; Colony Ridge; Texas; CFPB</t>
        </is>
      </c>
      <c r="G16" t="inlineStr">
        <is>
          <t>Civil Rights Division secures $68M settlement in predatory land sales and lending lawsuit</t>
        </is>
      </c>
      <c r="H16" t="inlineStr">
        <is>
          <t>Primary-source finding</t>
        </is>
      </c>
      <c r="I16" t="inlineStr">
        <is>
          <t>Critical</t>
        </is>
      </c>
      <c r="J16" t="inlineStr">
        <is>
          <t>Consent order; docket; compliance reports; infrastructure/public safety spending documentation</t>
        </is>
      </c>
    </row>
    <row r="17">
      <c r="A17" t="inlineStr">
        <is>
          <t>PA-016</t>
        </is>
      </c>
      <c r="B17" t="inlineStr">
        <is>
          <t>Media / Public Source</t>
        </is>
      </c>
      <c r="C17" t="inlineStr">
        <is>
          <t>Liberty County Official Website</t>
        </is>
      </c>
      <c r="D17" s="50" t="n">
        <v>46181</v>
      </c>
      <c r="E17" t="inlineStr">
        <is>
          <t>Official Records / Agenda Tracking</t>
        </is>
      </c>
      <c r="F17" t="inlineStr">
        <is>
          <t>Liberty County Commissioners Court</t>
        </is>
      </c>
      <c r="G17" t="inlineStr">
        <is>
          <t>Commissioners Court agendas and minutes repository</t>
        </is>
      </c>
      <c r="H17" t="inlineStr">
        <is>
          <t>Primary-source repository</t>
        </is>
      </c>
      <c r="I17" t="inlineStr">
        <is>
          <t>Critical</t>
        </is>
      </c>
      <c r="J17" t="inlineStr">
        <is>
          <t>Download agendas/minutes; extract vendors, contracts, warrants, land purchases, change orders, Form 1295 references</t>
        </is>
      </c>
    </row>
    <row r="18">
      <c r="A18" t="inlineStr">
        <is>
          <t>V1</t>
        </is>
      </c>
      <c r="B18" t="inlineStr">
        <is>
          <t>Visual Evidence Register</t>
        </is>
      </c>
      <c r="C18" t="inlineStr">
        <is>
          <t>Developer / Special District Finance</t>
        </is>
      </c>
      <c r="D18" s="50" t="n"/>
      <c r="E18" t="inlineStr">
        <is>
          <t>Developer / Special District Finance</t>
        </is>
      </c>
      <c r="G18" t="inlineStr">
        <is>
          <t>Uploaded report alleges Colony Ridge expansion with limited fiscal oversight, developer-linked MUD boards, delayed audits, and public debt/private profit concern.</t>
        </is>
      </c>
      <c r="H18" t="inlineStr">
        <is>
          <t>Finding / needs record-by-record validation</t>
        </is>
      </c>
      <c r="I18" t="inlineStr">
        <is>
          <t>High</t>
        </is>
      </c>
      <c r="J18" t="inlineStr">
        <is>
          <t>MUD audit table extraction, board rosters, bond official statements, recorded plats/deeds, reimbursement agreements</t>
        </is>
      </c>
    </row>
    <row r="19">
      <c r="A19" t="inlineStr">
        <is>
          <t>V2</t>
        </is>
      </c>
      <c r="B19" t="inlineStr">
        <is>
          <t>Visual Evidence Register</t>
        </is>
      </c>
      <c r="C19" t="inlineStr">
        <is>
          <t>County Procurement / Vendor Cycle</t>
        </is>
      </c>
      <c r="D19" s="50" t="n"/>
      <c r="E19" t="inlineStr">
        <is>
          <t>County Procurement / Vendor Cycle</t>
        </is>
      </c>
      <c r="G19" t="inlineStr">
        <is>
          <t>Uploaded report alleges recurring engineering, paving, and drainage vendors across consecutive Commissioner agendas with limited bid documentation.</t>
        </is>
      </c>
      <c r="H19" t="inlineStr">
        <is>
          <t>Hypothesis / agenda scrape required</t>
        </is>
      </c>
      <c r="I19" t="inlineStr">
        <is>
          <t>Medium</t>
        </is>
      </c>
      <c r="J19" t="inlineStr">
        <is>
          <t>Agendas, minutes, warrants payable PDFs, contracts, bid tabs, Form 1295s, change orders</t>
        </is>
      </c>
    </row>
    <row r="20">
      <c r="A20" t="inlineStr">
        <is>
          <t>V3</t>
        </is>
      </c>
      <c r="B20" t="inlineStr">
        <is>
          <t>Visual Evidence Register</t>
        </is>
      </c>
      <c r="C20" t="inlineStr">
        <is>
          <t>ISD Financial Transparency</t>
        </is>
      </c>
      <c r="D20" s="50" t="n"/>
      <c r="E20" t="inlineStr">
        <is>
          <t>ISD Financial Transparency</t>
        </is>
      </c>
      <c r="G20" t="inlineStr">
        <is>
          <t>Uploaded report alleges Tarkington ISD Jet Grant purchases over $50,000 with no vendor details and missing detailed check registers.</t>
        </is>
      </c>
      <c r="H20" t="inlineStr">
        <is>
          <t>Finding / vendor ledger required</t>
        </is>
      </c>
      <c r="I20" t="inlineStr">
        <is>
          <t>High</t>
        </is>
      </c>
      <c r="J20" t="inlineStr">
        <is>
          <t>BoardBook packet, grant purchase orders, check registers, vendor invoices, procurement method</t>
        </is>
      </c>
    </row>
    <row r="21">
      <c r="A21" t="inlineStr">
        <is>
          <t>V4</t>
        </is>
      </c>
      <c r="B21" t="inlineStr">
        <is>
          <t>Visual Evidence Register</t>
        </is>
      </c>
      <c r="C21" t="inlineStr">
        <is>
          <t>Political / Legislative Influence</t>
        </is>
      </c>
      <c r="D21" s="50" t="n"/>
      <c r="E21" t="inlineStr">
        <is>
          <t>Political / Legislative Influence</t>
        </is>
      </c>
      <c r="G21" t="inlineStr">
        <is>
          <t>Uploaded report alleges state-level bill activity tied to developer interests and expanded district authority.</t>
        </is>
      </c>
      <c r="H21" t="inlineStr">
        <is>
          <t>Hypothesis / public records correlation required</t>
        </is>
      </c>
      <c r="I21" t="inlineStr">
        <is>
          <t>Medium</t>
        </is>
      </c>
      <c r="J21" t="inlineStr">
        <is>
          <t>Bill history, votes, testimony, TEC contributions, PAC donations, Form 1295</t>
        </is>
      </c>
    </row>
    <row r="22">
      <c r="A22" t="inlineStr">
        <is>
          <t>V5</t>
        </is>
      </c>
      <c r="B22" t="inlineStr">
        <is>
          <t>Visual Evidence Register</t>
        </is>
      </c>
      <c r="C22" t="inlineStr">
        <is>
          <t>Transparency / Compliance Gaps</t>
        </is>
      </c>
      <c r="D22" s="50" t="n"/>
      <c r="E22" t="inlineStr">
        <is>
          <t>Transparency / Compliance Gaps</t>
        </is>
      </c>
      <c r="G22" t="inlineStr">
        <is>
          <t>Uploaded report lists missing Form 1295 disclosures, check registers, updated SRO agreement, and late MUD audits.</t>
        </is>
      </c>
      <c r="H22" t="inlineStr">
        <is>
          <t>Mixed / gap map ready</t>
        </is>
      </c>
      <c r="I22" t="inlineStr">
        <is>
          <t>Medium</t>
        </is>
      </c>
      <c r="J22" t="inlineStr">
        <is>
          <t>TPIA log, missing-record inventory, certification checks, audit filing dates</t>
        </is>
      </c>
    </row>
    <row r="23">
      <c r="A23" t="inlineStr">
        <is>
          <t>TPIA-001</t>
        </is>
      </c>
      <c r="B23" t="inlineStr">
        <is>
          <t>Records Request / TPIA</t>
        </is>
      </c>
      <c r="C23" t="inlineStr">
        <is>
          <t>Liberty County Commissioners Court</t>
        </is>
      </c>
      <c r="D23" s="50" t="n"/>
      <c r="E23" t="inlineStr">
        <is>
          <t>Records Collection</t>
        </is>
      </c>
      <c r="F23" t="inlineStr">
        <is>
          <t>Liberty County Commissioners Court</t>
        </is>
      </c>
      <c r="G23" t="inlineStr">
        <is>
          <t>All agenda packets, minutes, warrants payable, contracts, bids, bid tabs, change orders for engineering/paving/drainage vendors, 2016-2026</t>
        </is>
      </c>
      <c r="H23" t="inlineStr">
        <is>
          <t>Request target</t>
        </is>
      </c>
      <c r="I23" t="inlineStr">
        <is>
          <t>High</t>
        </is>
      </c>
      <c r="J23" t="inlineStr">
        <is>
          <t>Procurement cycle validation</t>
        </is>
      </c>
    </row>
    <row r="24">
      <c r="A24" t="inlineStr">
        <is>
          <t>TPIA-002</t>
        </is>
      </c>
      <c r="B24" t="inlineStr">
        <is>
          <t>Records Request / TPIA</t>
        </is>
      </c>
      <c r="C24" t="inlineStr">
        <is>
          <t>Liberty County Clerk</t>
        </is>
      </c>
      <c r="D24" s="50" t="n"/>
      <c r="E24" t="inlineStr">
        <is>
          <t>Records Collection</t>
        </is>
      </c>
      <c r="F24" t="inlineStr">
        <is>
          <t>Liberty County Clerk</t>
        </is>
      </c>
      <c r="G24" t="inlineStr">
        <is>
          <t>Recorded instruments, plats, easements, development agreements, dedications involving Colony Ridge entities and affiliated districts</t>
        </is>
      </c>
      <c r="H24" t="inlineStr">
        <is>
          <t>Request target</t>
        </is>
      </c>
      <c r="I24" t="inlineStr">
        <is>
          <t>High</t>
        </is>
      </c>
      <c r="J24" t="inlineStr">
        <is>
          <t>Recorded document backbone</t>
        </is>
      </c>
    </row>
    <row r="25">
      <c r="A25" t="inlineStr">
        <is>
          <t>TPIA-003</t>
        </is>
      </c>
      <c r="B25" t="inlineStr">
        <is>
          <t>Records Request / TPIA</t>
        </is>
      </c>
      <c r="C25" t="inlineStr">
        <is>
          <t>Liberty County MUD / MMD entities</t>
        </is>
      </c>
      <c r="D25" s="50" t="n"/>
      <c r="E25" t="inlineStr">
        <is>
          <t>Records Collection</t>
        </is>
      </c>
      <c r="F25" t="inlineStr">
        <is>
          <t>Liberty County MUD / MMD entities</t>
        </is>
      </c>
      <c r="G25" t="inlineStr">
        <is>
          <t>Audits, board rosters, reimbursement agreements, developer contracts, bond documents, engineer reports</t>
        </is>
      </c>
      <c r="H25" t="inlineStr">
        <is>
          <t>Request target</t>
        </is>
      </c>
      <c r="I25" t="inlineStr">
        <is>
          <t>High</t>
        </is>
      </c>
      <c r="J25" t="inlineStr">
        <is>
          <t>Debt and special-district control map</t>
        </is>
      </c>
    </row>
    <row r="26">
      <c r="A26" t="inlineStr">
        <is>
          <t>TPIA-004</t>
        </is>
      </c>
      <c r="B26" t="inlineStr">
        <is>
          <t>Records Request / TPIA</t>
        </is>
      </c>
      <c r="C26" t="inlineStr">
        <is>
          <t>Tarkington ISD</t>
        </is>
      </c>
      <c r="D26" s="50" t="n"/>
      <c r="E26" t="inlineStr">
        <is>
          <t>Records Collection</t>
        </is>
      </c>
      <c r="F26" t="inlineStr">
        <is>
          <t>Tarkington ISD</t>
        </is>
      </c>
      <c r="G26" t="inlineStr">
        <is>
          <t>Check registers, JET grant procurement file, invoices, PO approvals, BoardBook packet backup</t>
        </is>
      </c>
      <c r="H26" t="inlineStr">
        <is>
          <t>Request target</t>
        </is>
      </c>
      <c r="I26" t="inlineStr">
        <is>
          <t>High</t>
        </is>
      </c>
      <c r="J26" t="inlineStr">
        <is>
          <t>ISD financial transparency</t>
        </is>
      </c>
    </row>
    <row r="27">
      <c r="A27" t="inlineStr">
        <is>
          <t>TPIA-005</t>
        </is>
      </c>
      <c r="B27" t="inlineStr">
        <is>
          <t>Records Request / TPIA</t>
        </is>
      </c>
      <c r="C27" t="inlineStr">
        <is>
          <t>Constable Precinct 5 / TISD</t>
        </is>
      </c>
      <c r="D27" s="50" t="n"/>
      <c r="E27" t="inlineStr">
        <is>
          <t>Records Collection</t>
        </is>
      </c>
      <c r="F27" t="inlineStr">
        <is>
          <t>Constable Precinct 5 / TISD</t>
        </is>
      </c>
      <c r="G27" t="inlineStr">
        <is>
          <t>SRO agreement renewals/amendments, insurance, TCOLE certifications, incident-review procedures</t>
        </is>
      </c>
      <c r="H27" t="inlineStr">
        <is>
          <t>Request target</t>
        </is>
      </c>
      <c r="I27" t="inlineStr">
        <is>
          <t>High</t>
        </is>
      </c>
      <c r="J27" t="inlineStr">
        <is>
          <t>Law enforcement compliance</t>
        </is>
      </c>
    </row>
    <row r="28">
      <c r="A28" t="inlineStr">
        <is>
          <t>TPIA-006</t>
        </is>
      </c>
      <c r="B28" t="inlineStr">
        <is>
          <t>Records Request / TPIA</t>
        </is>
      </c>
      <c r="C28" t="inlineStr">
        <is>
          <t>Texas Ethics Commission</t>
        </is>
      </c>
      <c r="D28" s="50" t="n"/>
      <c r="E28" t="inlineStr">
        <is>
          <t>Records Collection</t>
        </is>
      </c>
      <c r="F28" t="inlineStr">
        <is>
          <t>Texas Ethics Commission</t>
        </is>
      </c>
      <c r="G28" t="inlineStr">
        <is>
          <t>Campaign finance records for named officials/PACs/vendors/developers; Form 1295 conflict disclosures</t>
        </is>
      </c>
      <c r="H28" t="inlineStr">
        <is>
          <t>Request target</t>
        </is>
      </c>
      <c r="I28" t="inlineStr">
        <is>
          <t>High</t>
        </is>
      </c>
      <c r="J28" t="inlineStr">
        <is>
          <t>Donor/contract timing correlation</t>
        </is>
      </c>
    </row>
    <row r="29">
      <c r="A29" t="inlineStr">
        <is>
          <t>TPIA-007</t>
        </is>
      </c>
      <c r="B29" t="inlineStr">
        <is>
          <t>Records Request / TPIA</t>
        </is>
      </c>
      <c r="C29" t="inlineStr">
        <is>
          <t>TCEQ / EPA / DOJ / AG</t>
        </is>
      </c>
      <c r="D29" s="50" t="n"/>
      <c r="E29" t="inlineStr">
        <is>
          <t>Records Collection</t>
        </is>
      </c>
      <c r="F29" t="inlineStr">
        <is>
          <t>TCEQ / EPA / DOJ / AG</t>
        </is>
      </c>
      <c r="G29" t="inlineStr">
        <is>
          <t>Enforcement files, permits, complaints, settlement compliance records</t>
        </is>
      </c>
      <c r="H29" t="inlineStr">
        <is>
          <t>Request target</t>
        </is>
      </c>
      <c r="I29" t="inlineStr">
        <is>
          <t>High</t>
        </is>
      </c>
      <c r="J29" t="inlineStr">
        <is>
          <t>Environmental and enforcement corroboration</t>
        </is>
      </c>
    </row>
    <row r="30">
      <c r="A30" t="inlineStr">
        <is>
          <t>DRIVE-001</t>
        </is>
      </c>
      <c r="B30" t="inlineStr">
        <is>
          <t>Drive-Discovered Tracker/Report</t>
        </is>
      </c>
      <c r="C30" t="inlineStr">
        <is>
          <t>colony ridge 060626 703.</t>
        </is>
      </c>
      <c r="D30" s="50" t="n"/>
      <c r="E30" t="inlineStr">
        <is>
          <t>Legacy Tracker / Report Import</t>
        </is>
      </c>
      <c r="G30" t="inlineStr">
        <is>
          <t>References 'complete investigation trackers, entity logs, and physical property filings' and Liberty County Nexus visual proof.</t>
        </is>
      </c>
      <c r="H30" t="inlineStr">
        <is>
          <t>Discovered / needs import</t>
        </is>
      </c>
      <c r="I30" t="inlineStr">
        <is>
          <t>Medium</t>
        </is>
      </c>
      <c r="J30" t="inlineStr">
        <is>
          <t>Open/fetch full doc, extract embedded tracker names, visuals, and record references.</t>
        </is>
      </c>
    </row>
    <row r="31">
      <c r="A31" t="inlineStr">
        <is>
          <t>DRIVE-002</t>
        </is>
      </c>
      <c r="B31" t="inlineStr">
        <is>
          <t>Drive-Discovered Tracker/Report</t>
        </is>
      </c>
      <c r="C31" t="inlineStr">
        <is>
          <t>Okay, you're still missing quite a bit of data eve...</t>
        </is>
      </c>
      <c r="D31" s="50" t="n"/>
      <c r="E31" t="inlineStr">
        <is>
          <t>Legacy Tracker / Report Import</t>
        </is>
      </c>
      <c r="G31" t="inlineStr">
        <is>
          <t>Duplicate/similar Liberty County Nexus content referencing complete investigation trackers and visual proof.</t>
        </is>
      </c>
      <c r="H31" t="inlineStr">
        <is>
          <t>Discovered / possible duplicate</t>
        </is>
      </c>
      <c r="I31" t="inlineStr">
        <is>
          <t>Medium</t>
        </is>
      </c>
      <c r="J31" t="inlineStr">
        <is>
          <t>Compare to colony ridge 060626 703 and keep only newest/clearest version.</t>
        </is>
      </c>
    </row>
    <row r="32">
      <c r="A32" t="inlineStr">
        <is>
          <t>DRIVE-003</t>
        </is>
      </c>
      <c r="B32" t="inlineStr">
        <is>
          <t>Drive-Discovered Tracker/Report</t>
        </is>
      </c>
      <c r="C32" t="inlineStr">
        <is>
          <t>Liberty_Officials_Obituary_Tracker_FINAL</t>
        </is>
      </c>
      <c r="D32" s="50" t="n"/>
      <c r="E32" t="inlineStr">
        <is>
          <t>Legacy Tracker / Report Import</t>
        </is>
      </c>
      <c r="G32" t="inlineStr">
        <is>
          <t>Official names, roles, jurisdictions, notes; includes officials, CAD, MUD #1, county and ISD names.</t>
        </is>
      </c>
      <c r="H32" t="inlineStr">
        <is>
          <t>Discovered / high-value merge target</t>
        </is>
      </c>
      <c r="I32" t="inlineStr">
        <is>
          <t>High</t>
        </is>
      </c>
      <c r="J32" t="inlineStr">
        <is>
          <t>Import rows into Officials &amp; Network tab; normalize name/surname/office/jurisdiction fields.</t>
        </is>
      </c>
    </row>
    <row r="33">
      <c r="A33" t="inlineStr">
        <is>
          <t>DRIVE-004</t>
        </is>
      </c>
      <c r="B33" t="inlineStr">
        <is>
          <t>Drive-Discovered Tracker/Report</t>
        </is>
      </c>
      <c r="C33" t="inlineStr">
        <is>
          <t>Liberty_Officials_Obituary_Tracker_FINAL.xlsx</t>
        </is>
      </c>
      <c r="D33" s="50" t="n"/>
      <c r="E33" t="inlineStr">
        <is>
          <t>Legacy Tracker / Report Import</t>
        </is>
      </c>
      <c r="G33" t="inlineStr">
        <is>
          <t>Excel version of official/obituary tracker with county, ISD, CAD, MUD roles.</t>
        </is>
      </c>
      <c r="H33" t="inlineStr">
        <is>
          <t>Discovered / likely duplicate of Google Sheet</t>
        </is>
      </c>
      <c r="I33" t="inlineStr">
        <is>
          <t>Medium</t>
        </is>
      </c>
      <c r="J33" t="inlineStr">
        <is>
          <t>Compare version against Google Sheet; use latest complete version.</t>
        </is>
      </c>
    </row>
    <row r="34">
      <c r="A34" t="inlineStr">
        <is>
          <t>DRIVE-005</t>
        </is>
      </c>
      <c r="B34" t="inlineStr">
        <is>
          <t>Drive-Discovered Tracker/Report</t>
        </is>
      </c>
      <c r="C34" t="inlineStr">
        <is>
          <t>Liberty County Corruption Investigation.pdf</t>
        </is>
      </c>
      <c r="D34" s="50" t="n"/>
      <c r="E34" t="inlineStr">
        <is>
          <t>Legacy Tracker / Report Import</t>
        </is>
      </c>
      <c r="G34" t="inlineStr">
        <is>
          <t>Comprehensive Liberty County corruption/nepotism/predatory practices report.</t>
        </is>
      </c>
      <c r="H34" t="inlineStr">
        <is>
          <t>Discovered / report source</t>
        </is>
      </c>
      <c r="I34" t="inlineStr">
        <is>
          <t>High</t>
        </is>
      </c>
      <c r="J34" t="inlineStr">
        <is>
          <t>Extract claim table and convert to Findings Register rows.</t>
        </is>
      </c>
    </row>
    <row r="35">
      <c r="A35" t="inlineStr">
        <is>
          <t>DRIVE-006</t>
        </is>
      </c>
      <c r="B35" t="inlineStr">
        <is>
          <t>Drive-Discovered Tracker/Report</t>
        </is>
      </c>
      <c r="C35" t="inlineStr">
        <is>
          <t>Liberty County Corruption Investigation</t>
        </is>
      </c>
      <c r="D35" s="50" t="n"/>
      <c r="E35" t="inlineStr">
        <is>
          <t>Legacy Tracker / Report Import</t>
        </is>
      </c>
      <c r="G35" t="inlineStr">
        <is>
          <t>Doc version of same report; includes MUDs, influence networks, SOS/funding overview.</t>
        </is>
      </c>
      <c r="H35" t="inlineStr">
        <is>
          <t>Discovered / report source</t>
        </is>
      </c>
      <c r="I35" t="inlineStr">
        <is>
          <t>High</t>
        </is>
      </c>
      <c r="J35" t="inlineStr">
        <is>
          <t>Use as editable source if fuller than PDF.</t>
        </is>
      </c>
    </row>
    <row r="36">
      <c r="A36" t="inlineStr">
        <is>
          <t>DRIVE-007</t>
        </is>
      </c>
      <c r="B36" t="inlineStr">
        <is>
          <t>Drive-Discovered Tracker/Report</t>
        </is>
      </c>
      <c r="C36" t="inlineStr">
        <is>
          <t>Liberty County MUD 15 Report summaries</t>
        </is>
      </c>
      <c r="D36" s="50" t="n"/>
      <c r="E36" t="inlineStr">
        <is>
          <t>Legacy Tracker / Report Import</t>
        </is>
      </c>
      <c r="G36" t="inlineStr">
        <is>
          <t>MUD 15 report summaries; references formation, election irregularities, bond propositions up to $88M.</t>
        </is>
      </c>
      <c r="H36" t="inlineStr">
        <is>
          <t>Discovered / topic report</t>
        </is>
      </c>
      <c r="I36" t="inlineStr">
        <is>
          <t>Medium</t>
        </is>
      </c>
      <c r="J36" t="inlineStr">
        <is>
          <t>Extract MUD 15 bond/election/board fields into MUD tab.</t>
        </is>
      </c>
    </row>
    <row r="37">
      <c r="A37" t="inlineStr">
        <is>
          <t>DRIVE-008</t>
        </is>
      </c>
      <c r="B37" t="inlineStr">
        <is>
          <t>Drive-Discovered Tracker/Report</t>
        </is>
      </c>
      <c r="C37" t="inlineStr">
        <is>
          <t>Liberty County MUD 15 Report</t>
        </is>
      </c>
      <c r="D37" s="50" t="n"/>
      <c r="E37" t="inlineStr">
        <is>
          <t>Legacy Tracker / Report Import</t>
        </is>
      </c>
      <c r="G37" t="inlineStr">
        <is>
          <t>Comprehensive MUD 15 report; overlaps with summaries.</t>
        </is>
      </c>
      <c r="H37" t="inlineStr">
        <is>
          <t>Discovered / topic report</t>
        </is>
      </c>
      <c r="I37" t="inlineStr">
        <is>
          <t>Medium</t>
        </is>
      </c>
      <c r="J37" t="inlineStr">
        <is>
          <t>Compare to summary version; extract primary dates/claims.</t>
        </is>
      </c>
    </row>
    <row r="38">
      <c r="A38" t="inlineStr">
        <is>
          <t>DRIVE-009</t>
        </is>
      </c>
      <c r="B38" t="inlineStr">
        <is>
          <t>Drive-Discovered Tracker/Report</t>
        </is>
      </c>
      <c r="C38" t="inlineStr">
        <is>
          <t>Final Investigative Report: The Liberty County Cor....docx</t>
        </is>
      </c>
      <c r="D38" s="50" t="n"/>
      <c r="E38" t="inlineStr">
        <is>
          <t>Legacy Tracker / Report Import</t>
        </is>
      </c>
      <c r="G38" t="inlineStr">
        <is>
          <t>Final Investigative Report; includes lawsuits, legislative framework, systemic corruption analysis.</t>
        </is>
      </c>
      <c r="H38" t="inlineStr">
        <is>
          <t>Discovered / report source</t>
        </is>
      </c>
      <c r="I38" t="inlineStr">
        <is>
          <t>High</t>
        </is>
      </c>
      <c r="J38" t="inlineStr">
        <is>
          <t>Convert Part/section table into findings and source index.</t>
        </is>
      </c>
    </row>
    <row r="39">
      <c r="A39" t="inlineStr">
        <is>
          <t>DRIVE-010</t>
        </is>
      </c>
      <c r="B39" t="inlineStr">
        <is>
          <t>Drive-Discovered Tracker/Report</t>
        </is>
      </c>
      <c r="C39" t="inlineStr">
        <is>
          <t>commissioners meetings 051325</t>
        </is>
      </c>
      <c r="D39" s="50" t="n"/>
      <c r="E39" t="inlineStr">
        <is>
          <t>Legacy Tracker / Report Import</t>
        </is>
      </c>
      <c r="G39" t="inlineStr">
        <is>
          <t>Commissioners meeting transcript/notes from April 28 special meeting.</t>
        </is>
      </c>
      <c r="H39" t="inlineStr">
        <is>
          <t>Discovered / meeting source</t>
        </is>
      </c>
      <c r="I39" t="inlineStr">
        <is>
          <t>High</t>
        </is>
      </c>
      <c r="J39" t="inlineStr">
        <is>
          <t>Extract action items into official agenda/minutes cross-check tab.</t>
        </is>
      </c>
    </row>
    <row r="40">
      <c r="A40" t="inlineStr">
        <is>
          <t>CI-001</t>
        </is>
      </c>
      <c r="B40" t="inlineStr">
        <is>
          <t>Report / Public Registry</t>
        </is>
      </c>
      <c r="C40" t="inlineStr">
        <is>
          <t>cold_iron_report.html</t>
        </is>
      </c>
      <c r="D40" s="50" t="n">
        <v>46184</v>
      </c>
      <c r="E40" t="inlineStr">
        <is>
          <t>Tax / Appraisal Review Board</t>
        </is>
      </c>
      <c r="F40" t="inlineStr">
        <is>
          <t>Scott Ellis; ARB Board; R.T. Ellis Excavating</t>
        </is>
      </c>
      <c r="G40" t="inlineStr">
        <is>
          <t>Scott Ellis, Appraisal Review Board Panelist, evaluated and finalized Raywood site valuation while being deeply tied to R.T. Ellis Excavating (largest local civil contractor).</t>
        </is>
      </c>
      <c r="H40" t="inlineStr">
        <is>
          <t>Verified / Dossier</t>
        </is>
      </c>
      <c r="I40" t="inlineStr">
        <is>
          <t>High</t>
        </is>
      </c>
      <c r="J40" t="inlineStr">
        <is>
          <t>Validate ARB minutes and R.T. Ellis contract records.</t>
        </is>
      </c>
    </row>
    <row r="41">
      <c r="A41" t="inlineStr">
        <is>
          <t>CI-002</t>
        </is>
      </c>
      <c r="B41" t="inlineStr">
        <is>
          <t>Report / Public Registry</t>
        </is>
      </c>
      <c r="C41" t="inlineStr">
        <is>
          <t>cold_iron_report.html</t>
        </is>
      </c>
      <c r="D41" s="50" t="n">
        <v>46184</v>
      </c>
      <c r="E41" t="inlineStr">
        <is>
          <t>Tax / Ag-Use Tax Shield</t>
        </is>
      </c>
      <c r="F41" t="inlineStr">
        <is>
          <t>Higher Spirit Holding LLC; Zachary Xavier Yanta; Steffek Trusts</t>
        </is>
      </c>
      <c r="G41" t="inlineStr">
        <is>
          <t>Raywood site (Property ID 30573) ag-use tax shield collapsed in 2025/2026 upon sale to Higher Spirit Holding LLC, causing certified market value to jump to $1,965,600 and taxes to spike to $30,949.52.</t>
        </is>
      </c>
      <c r="H41" t="inlineStr">
        <is>
          <t>Verified / Dossier</t>
        </is>
      </c>
      <c r="I41" t="inlineStr">
        <is>
          <t>High</t>
        </is>
      </c>
      <c r="J41" t="inlineStr">
        <is>
          <t>Verify property tax records and deed filings.</t>
        </is>
      </c>
    </row>
    <row r="42">
      <c r="A42" t="inlineStr">
        <is>
          <t>CI-003</t>
        </is>
      </c>
      <c r="B42" t="inlineStr">
        <is>
          <t>Report / Public Registry</t>
        </is>
      </c>
      <c r="C42" t="inlineStr">
        <is>
          <t>cold_iron_report.html</t>
        </is>
      </c>
      <c r="D42" s="50" t="n">
        <v>46184</v>
      </c>
      <c r="E42" t="inlineStr">
        <is>
          <t>Infrastructure / Arbitrage</t>
        </is>
      </c>
      <c r="F42" t="inlineStr">
        <is>
          <t>Liberty County MMD No. 1; McKenna Contracting</t>
        </is>
      </c>
      <c r="G42" t="inlineStr">
        <is>
          <t>MMD 1 awarded a $22,530 civil contract (MMD-2026-MC) to McKenna Contracting for soccer netting installation in May 2026 Board Session.</t>
        </is>
      </c>
      <c r="H42" t="inlineStr">
        <is>
          <t>Verified / Minutes</t>
        </is>
      </c>
      <c r="I42" t="inlineStr">
        <is>
          <t>Medium</t>
        </is>
      </c>
      <c r="J42" t="inlineStr">
        <is>
          <t>Verify MMD 1 Board minutes and disbursements.</t>
        </is>
      </c>
    </row>
    <row r="43">
      <c r="A43" t="inlineStr">
        <is>
          <t>CI-004</t>
        </is>
      </c>
      <c r="B43" t="inlineStr">
        <is>
          <t>Report / Public Registry</t>
        </is>
      </c>
      <c r="C43" t="inlineStr">
        <is>
          <t>cold_iron_report.html</t>
        </is>
      </c>
      <c r="D43" s="50" t="n">
        <v>46184</v>
      </c>
      <c r="E43" t="inlineStr">
        <is>
          <t>Water Rights / Aquifer Draw</t>
        </is>
      </c>
      <c r="F43" t="inlineStr">
        <is>
          <t>Select Energy Services; Zachary Xavier Yanta; TCEQ</t>
        </is>
      </c>
      <c r="G43" t="inlineStr">
        <is>
          <t>Select Energy Services faces water rights case (TCEQ-2026-CH) and litigation regarding high-volume water draws from the Trinity Aquifer, contested by pasture tenant Zachary Yanta.</t>
        </is>
      </c>
      <c r="H43" t="inlineStr">
        <is>
          <t>Verified / Litigation</t>
        </is>
      </c>
      <c r="I43" t="inlineStr">
        <is>
          <t>High</t>
        </is>
      </c>
      <c r="J43" t="inlineStr">
        <is>
          <t>Monitor TCEQ water rights case hearing docket.</t>
        </is>
      </c>
    </row>
    <row r="44">
      <c r="A44" t="inlineStr">
        <is>
          <t>CI-005</t>
        </is>
      </c>
      <c r="B44" t="inlineStr">
        <is>
          <t>Report / Public Registry</t>
        </is>
      </c>
      <c r="C44" t="inlineStr">
        <is>
          <t>cold_iron_report.html</t>
        </is>
      </c>
      <c r="D44" s="50" t="n">
        <v>46184</v>
      </c>
      <c r="E44" t="inlineStr">
        <is>
          <t>Governance / Conflicts of Interest</t>
        </is>
      </c>
      <c r="F44" t="inlineStr">
        <is>
          <t>Marek Brothers Company LLC; Heath J. Marek; Bell Silva; Cynthia Silva</t>
        </is>
      </c>
      <c r="G44" t="inlineStr">
        <is>
          <t>Marek Brothers Company LLC manages construction liens and credit axis inside the county while Heath Marek sits on the MMD 1 Board and family relative Bell Silva functions as Credit Manager.</t>
        </is>
      </c>
      <c r="H44" t="inlineStr">
        <is>
          <t>Verified / Dossier</t>
        </is>
      </c>
      <c r="I44" t="inlineStr">
        <is>
          <t>High</t>
        </is>
      </c>
      <c r="J44" t="inlineStr">
        <is>
          <t>Search clerk's registry for recorded Marek Brothers mechanics liens.</t>
        </is>
      </c>
    </row>
    <row r="45">
      <c r="A45" t="inlineStr">
        <is>
          <t>CI-006</t>
        </is>
      </c>
      <c r="B45" t="inlineStr">
        <is>
          <t>Media / Public Source</t>
        </is>
      </c>
      <c r="C45" t="inlineStr">
        <is>
          <t>Bluebonnet News</t>
        </is>
      </c>
      <c r="D45" s="50" t="n">
        <v>46105</v>
      </c>
      <c r="E45" t="inlineStr">
        <is>
          <t>Governance / Conflicts of Interest</t>
        </is>
      </c>
      <c r="F45" t="inlineStr">
        <is>
          <t>Emily Kebodeaux Cook; LCHA; Central Appraisal District</t>
        </is>
      </c>
      <c r="G45" t="inlineStr">
        <is>
          <t>Emily Kebodeaux Cook indicted on a charge of misapplication of fiduciary property, a state jail felony, related to LCHA funds. Barred from governmental/nonprofit financial decision-making as bond condition.</t>
        </is>
      </c>
      <c r="H45" t="inlineStr">
        <is>
          <t>Verified / Indictment</t>
        </is>
      </c>
      <c r="I45" t="inlineStr">
        <is>
          <t>High</t>
        </is>
      </c>
      <c r="J45" t="inlineStr">
        <is>
          <t>None</t>
        </is>
      </c>
    </row>
    <row r="46">
      <c r="A46" t="inlineStr">
        <is>
          <t>CI-007</t>
        </is>
      </c>
      <c r="B46" t="inlineStr">
        <is>
          <t>Media / Public Source</t>
        </is>
      </c>
      <c r="C46" t="inlineStr">
        <is>
          <t>Houston Chronicle</t>
        </is>
      </c>
      <c r="D46" s="50" t="n">
        <v>46126</v>
      </c>
      <c r="E46" t="inlineStr">
        <is>
          <t>Enforcement / Developer Practices</t>
        </is>
      </c>
      <c r="F46" t="inlineStr">
        <is>
          <t>Klint Bush; LCHA; Cypritech</t>
        </is>
      </c>
      <c r="G46" t="inlineStr">
        <is>
          <t>Klint Bush indicted on charges of Abuse of Official Capacity and theft of public funds ($150,000+). Filings allege 14 transactions from 2019-2021, including a $2,000 IT consulting payment to Tommy Brents/Cypritech without work.</t>
        </is>
      </c>
      <c r="H46" t="inlineStr">
        <is>
          <t>Verified / Indictments</t>
        </is>
      </c>
      <c r="I46" t="inlineStr">
        <is>
          <t>High</t>
        </is>
      </c>
      <c r="J46" t="inlineStr">
        <is>
          <t>None</t>
        </is>
      </c>
    </row>
    <row r="47">
      <c r="A47" t="inlineStr">
        <is>
          <t>CI-008</t>
        </is>
      </c>
      <c r="B47" t="inlineStr">
        <is>
          <t>Media / Public Source</t>
        </is>
      </c>
      <c r="C47" t="inlineStr">
        <is>
          <t>Bluebonnet News</t>
        </is>
      </c>
      <c r="D47" s="50" t="n">
        <v>46206</v>
      </c>
      <c r="E47" t="inlineStr">
        <is>
          <t>Law Enforcement / Public Integrity</t>
        </is>
      </c>
      <c r="F47" t="inlineStr">
        <is>
          <t>Jason Grindstaff; Liberty Police Department</t>
        </is>
      </c>
      <c r="G47" t="inlineStr">
        <is>
          <t>Former Liberty Police Officer Jason Grindstaff surrenders to authorities following a grand jury indictment for official oppression and indecent assault.</t>
        </is>
      </c>
      <c r="H47" t="inlineStr">
        <is>
          <t>Verified / Arrest</t>
        </is>
      </c>
      <c r="I47" t="inlineStr">
        <is>
          <t>High</t>
        </is>
      </c>
      <c r="J47" t="inlineStr">
        <is>
          <t>None</t>
        </is>
      </c>
    </row>
    <row r="48">
      <c r="A48" t="inlineStr">
        <is>
          <t>CI-009</t>
        </is>
      </c>
      <c r="B48" t="inlineStr">
        <is>
          <t>Media / Public Source</t>
        </is>
      </c>
      <c r="C48" t="inlineStr">
        <is>
          <t>Bluebonnet News</t>
        </is>
      </c>
      <c r="D48" s="50" t="n">
        <v>45981</v>
      </c>
      <c r="E48" t="inlineStr">
        <is>
          <t>Law Enforcement / Public Integrity</t>
        </is>
      </c>
      <c r="F48" t="inlineStr">
        <is>
          <t>Liberty Police Department; Texas Department of Public Safety (DPS)</t>
        </is>
      </c>
      <c r="G48" t="inlineStr">
        <is>
          <t>Liberty PD patrol vehicle side-view mirror accidentally strikes a pedestrian in the middle of the night. Texas DPS conducts independent crash investigation, leading to internal City disciplinary actions.</t>
        </is>
      </c>
      <c r="H48" t="inlineStr">
        <is>
          <t>Verified / Public Release</t>
        </is>
      </c>
      <c r="I48" t="inlineStr">
        <is>
          <t>High</t>
        </is>
      </c>
      <c r="J48" t="inlineStr">
        <is>
          <t>None</t>
        </is>
      </c>
    </row>
    <row r="49">
      <c r="A49" t="inlineStr">
        <is>
          <t>CI-010</t>
        </is>
      </c>
      <c r="B49" t="inlineStr">
        <is>
          <t>Media / Public Source</t>
        </is>
      </c>
      <c r="C49" t="inlineStr">
        <is>
          <t>Bluebonnet News</t>
        </is>
      </c>
      <c r="D49" s="50" t="n">
        <v>45974</v>
      </c>
      <c r="E49" t="inlineStr">
        <is>
          <t>Law Enforcement / Public Integrity</t>
        </is>
      </c>
      <c r="F49" t="inlineStr">
        <is>
          <t>Lt. Ramiro Lozano; Liberty Police Department; Texas Rangers</t>
        </is>
      </c>
      <c r="G49" t="inlineStr">
        <is>
          <t>Liberty PD Lieutenant Ramiro Lozano is terminated following a Texas Rangers investigation into allegations of unauthorized jail access to Domingo Quintana.</t>
        </is>
      </c>
      <c r="H49" t="inlineStr">
        <is>
          <t>Verified / Termination</t>
        </is>
      </c>
      <c r="I49" t="inlineStr">
        <is>
          <t>High</t>
        </is>
      </c>
      <c r="J49" t="inlineStr">
        <is>
          <t>None</t>
        </is>
      </c>
    </row>
    <row r="50">
      <c r="A50" t="inlineStr">
        <is>
          <t>CI-011</t>
        </is>
      </c>
      <c r="B50" t="inlineStr">
        <is>
          <t>Public Record</t>
        </is>
      </c>
      <c r="C50" t="inlineStr">
        <is>
          <t>City of Liberty</t>
        </is>
      </c>
      <c r="D50" s="50" t="n">
        <v>45658</v>
      </c>
      <c r="E50" t="inlineStr">
        <is>
          <t>Law Enforcement / Personnel</t>
        </is>
      </c>
      <c r="F50" t="inlineStr">
        <is>
          <t>Cedric McDuffie; Liberty Police Department</t>
        </is>
      </c>
      <c r="G50" t="inlineStr">
        <is>
          <t>Lieutenant Cedric McDuffie's service record with Liberty Police Department and Liberty County Constable's Office documented.</t>
        </is>
      </c>
      <c r="H50" t="inlineStr">
        <is>
          <t>Verified / Personnel</t>
        </is>
      </c>
      <c r="I50" t="inlineStr">
        <is>
          <t>Medium</t>
        </is>
      </c>
      <c r="J50" t="inlineStr">
        <is>
          <t>None</t>
        </is>
      </c>
    </row>
    <row r="51">
      <c r="D51" s="50" t="n"/>
    </row>
    <row r="52">
      <c r="D52" s="50" t="n"/>
    </row>
    <row r="53">
      <c r="D53" s="50" t="n"/>
    </row>
    <row r="54">
      <c r="D54" s="50" t="n"/>
    </row>
    <row r="55">
      <c r="D55" s="50" t="n"/>
    </row>
    <row r="56">
      <c r="D56" s="50" t="n"/>
    </row>
    <row r="57">
      <c r="D57" s="50" t="n"/>
    </row>
    <row r="58">
      <c r="D58" s="50" t="n"/>
    </row>
    <row r="59">
      <c r="D59" s="50" t="n"/>
    </row>
    <row r="60">
      <c r="D60" s="50" t="n"/>
    </row>
    <row r="61">
      <c r="D61" s="50" t="n"/>
    </row>
    <row r="62">
      <c r="D62" s="50" t="n"/>
    </row>
    <row r="63">
      <c r="D63" s="50" t="n"/>
    </row>
    <row r="64">
      <c r="D64" s="50" t="n"/>
    </row>
    <row r="65">
      <c r="D65" s="50" t="n"/>
    </row>
    <row r="66">
      <c r="D66" s="50" t="n"/>
    </row>
    <row r="67">
      <c r="D67" s="50" t="n"/>
    </row>
    <row r="68">
      <c r="D68" s="50" t="n"/>
    </row>
    <row r="69">
      <c r="D69" s="50" t="n"/>
    </row>
    <row r="70">
      <c r="D70" s="50" t="n"/>
    </row>
    <row r="71">
      <c r="D71" s="50" t="n"/>
    </row>
    <row r="72">
      <c r="D72" s="50" t="n"/>
    </row>
    <row r="73">
      <c r="D73" s="50" t="n"/>
    </row>
    <row r="74">
      <c r="D74" s="50" t="n"/>
    </row>
    <row r="75">
      <c r="D75" s="50" t="n"/>
    </row>
    <row r="76">
      <c r="D76" s="50" t="n"/>
    </row>
    <row r="77">
      <c r="D77" s="50" t="n"/>
    </row>
    <row r="78">
      <c r="D78" s="50" t="n"/>
    </row>
    <row r="79">
      <c r="D79" s="50" t="n"/>
    </row>
    <row r="80">
      <c r="D80" s="50" t="n"/>
    </row>
    <row r="81">
      <c r="D81" s="50" t="n"/>
    </row>
    <row r="82">
      <c r="D82" s="50" t="n"/>
    </row>
    <row r="83">
      <c r="D83" s="50" t="n"/>
    </row>
    <row r="84">
      <c r="D84" s="50" t="n"/>
    </row>
    <row r="85">
      <c r="D85" s="50" t="n"/>
    </row>
    <row r="86">
      <c r="D86" s="50" t="n"/>
    </row>
    <row r="87">
      <c r="D87" s="50" t="n"/>
    </row>
    <row r="88">
      <c r="D88" s="50" t="n"/>
    </row>
    <row r="89">
      <c r="D89" s="50" t="n"/>
    </row>
    <row r="90">
      <c r="D90" s="50" t="n"/>
    </row>
    <row r="91">
      <c r="D91" s="50" t="n"/>
    </row>
    <row r="92">
      <c r="D92" s="50" t="n"/>
    </row>
    <row r="93">
      <c r="D93" s="50" t="n"/>
    </row>
    <row r="94">
      <c r="D94" s="50" t="n"/>
    </row>
    <row r="95">
      <c r="D95" s="50" t="n"/>
    </row>
    <row r="96">
      <c r="D96" s="50" t="n"/>
    </row>
    <row r="97">
      <c r="D97" s="50" t="n"/>
    </row>
    <row r="98">
      <c r="D98" s="50" t="n"/>
    </row>
    <row r="99">
      <c r="D99" s="50" t="n"/>
    </row>
    <row r="100">
      <c r="D100" s="50" t="n"/>
    </row>
    <row r="101">
      <c r="D101" s="50" t="n"/>
    </row>
    <row r="102">
      <c r="D102" s="50" t="n"/>
    </row>
    <row r="103">
      <c r="D103" s="50" t="n"/>
    </row>
    <row r="104">
      <c r="D104" s="50" t="n"/>
    </row>
    <row r="105">
      <c r="D105" s="50" t="n"/>
    </row>
    <row r="106">
      <c r="D106" s="50" t="n"/>
    </row>
    <row r="107">
      <c r="D107" s="50" t="n"/>
    </row>
    <row r="108">
      <c r="D108" s="50" t="n"/>
    </row>
    <row r="109">
      <c r="D109" s="50" t="n"/>
    </row>
    <row r="110">
      <c r="D110" s="50" t="n"/>
    </row>
    <row r="111">
      <c r="D111" s="50" t="n"/>
    </row>
    <row r="112">
      <c r="D112" s="50" t="n"/>
    </row>
    <row r="113">
      <c r="D113" s="50" t="n"/>
    </row>
    <row r="114">
      <c r="D114" s="50" t="n"/>
    </row>
    <row r="115">
      <c r="D115" s="50" t="n"/>
    </row>
    <row r="116">
      <c r="D116" s="50" t="n"/>
    </row>
    <row r="117">
      <c r="D117" s="50" t="n"/>
    </row>
    <row r="118">
      <c r="D118" s="50" t="n"/>
    </row>
    <row r="119">
      <c r="D119" s="50" t="n"/>
    </row>
    <row r="120">
      <c r="D120" s="50" t="n"/>
    </row>
    <row r="121">
      <c r="D121" s="50" t="n"/>
    </row>
    <row r="122">
      <c r="D122" s="50" t="n"/>
    </row>
    <row r="123">
      <c r="D123" s="50" t="n"/>
    </row>
    <row r="124">
      <c r="D124" s="50" t="n"/>
    </row>
    <row r="125">
      <c r="D125" s="50" t="n"/>
    </row>
    <row r="126">
      <c r="D126" s="50" t="n"/>
    </row>
    <row r="127">
      <c r="D127" s="50" t="n"/>
    </row>
    <row r="128">
      <c r="D128" s="50" t="n"/>
    </row>
    <row r="129">
      <c r="D129" s="50" t="n"/>
    </row>
    <row r="130">
      <c r="D130" s="50" t="n"/>
    </row>
    <row r="131">
      <c r="D131" s="50" t="n"/>
    </row>
    <row r="132">
      <c r="D132" s="50" t="n"/>
    </row>
    <row r="133">
      <c r="D133" s="50" t="n"/>
    </row>
    <row r="134">
      <c r="D134" s="50" t="n"/>
    </row>
    <row r="135">
      <c r="D135" s="50" t="n"/>
    </row>
    <row r="136">
      <c r="D136" s="50" t="n"/>
    </row>
    <row r="137">
      <c r="D137" s="50" t="n"/>
    </row>
    <row r="138">
      <c r="D138" s="50" t="n"/>
    </row>
    <row r="139">
      <c r="D139" s="50" t="n"/>
    </row>
    <row r="140">
      <c r="D140" s="50" t="n"/>
    </row>
    <row r="141">
      <c r="D141" s="50" t="n"/>
    </row>
    <row r="142">
      <c r="D142" s="50" t="n"/>
    </row>
    <row r="143">
      <c r="D143" s="50" t="n"/>
    </row>
    <row r="144">
      <c r="D144" s="50" t="n"/>
    </row>
    <row r="145">
      <c r="D145" s="50" t="n"/>
    </row>
    <row r="146">
      <c r="D146" s="50" t="n"/>
    </row>
    <row r="147">
      <c r="D147" s="50" t="n"/>
    </row>
    <row r="148">
      <c r="D148" s="50" t="n"/>
    </row>
    <row r="149">
      <c r="D149" s="50" t="n"/>
    </row>
    <row r="150">
      <c r="D150" s="50" t="n"/>
    </row>
    <row r="151">
      <c r="D151" s="50" t="n"/>
    </row>
    <row r="152">
      <c r="D152" s="50" t="n"/>
    </row>
    <row r="153">
      <c r="D153" s="50" t="n"/>
    </row>
    <row r="154">
      <c r="D154" s="50" t="n"/>
    </row>
    <row r="155">
      <c r="D155" s="50" t="n"/>
    </row>
    <row r="156">
      <c r="D156" s="50" t="n"/>
    </row>
    <row r="157">
      <c r="D157" s="50" t="n"/>
    </row>
    <row r="158">
      <c r="D158" s="50" t="n"/>
    </row>
    <row r="159">
      <c r="D159" s="50" t="n"/>
    </row>
    <row r="160">
      <c r="D160" s="50" t="n"/>
    </row>
    <row r="161">
      <c r="D161" s="50" t="n"/>
    </row>
    <row r="162">
      <c r="D162" s="50" t="n"/>
    </row>
    <row r="163">
      <c r="D163" s="50" t="n"/>
    </row>
    <row r="164">
      <c r="D164" s="50" t="n"/>
    </row>
    <row r="165">
      <c r="D165" s="50" t="n"/>
    </row>
    <row r="166">
      <c r="D166" s="50" t="n"/>
    </row>
    <row r="167">
      <c r="D167" s="50" t="n"/>
    </row>
    <row r="168">
      <c r="D168" s="50" t="n"/>
    </row>
    <row r="169">
      <c r="D169" s="50" t="n"/>
    </row>
    <row r="170">
      <c r="D170" s="50" t="n"/>
    </row>
    <row r="171">
      <c r="D171" s="50" t="n"/>
    </row>
    <row r="172">
      <c r="D172" s="50" t="n"/>
    </row>
    <row r="173">
      <c r="D173" s="50" t="n"/>
    </row>
    <row r="174">
      <c r="D174" s="50" t="n"/>
    </row>
    <row r="175">
      <c r="D175" s="50" t="n"/>
    </row>
    <row r="176">
      <c r="D176" s="50" t="n"/>
    </row>
    <row r="177">
      <c r="D177" s="50" t="n"/>
    </row>
    <row r="178">
      <c r="D178" s="50" t="n"/>
    </row>
    <row r="179">
      <c r="D179" s="50" t="n"/>
    </row>
    <row r="180">
      <c r="D180" s="50" t="n"/>
    </row>
    <row r="181">
      <c r="D181" s="50" t="n"/>
    </row>
    <row r="182">
      <c r="D182" s="50" t="n"/>
    </row>
    <row r="183">
      <c r="D183" s="50" t="n"/>
    </row>
    <row r="184">
      <c r="D184" s="50" t="n"/>
    </row>
    <row r="185">
      <c r="D185" s="50" t="n"/>
    </row>
    <row r="186">
      <c r="D186" s="50" t="n"/>
    </row>
    <row r="187">
      <c r="D187" s="50" t="n"/>
    </row>
    <row r="188">
      <c r="D188" s="50" t="n"/>
    </row>
    <row r="189">
      <c r="D189" s="50" t="n"/>
    </row>
    <row r="190">
      <c r="D190" s="50" t="n"/>
    </row>
    <row r="191">
      <c r="D191" s="50" t="n"/>
    </row>
    <row r="192">
      <c r="D192" s="50" t="n"/>
    </row>
    <row r="193">
      <c r="D193" s="50" t="n"/>
    </row>
    <row r="194">
      <c r="D194" s="50" t="n"/>
    </row>
    <row r="195">
      <c r="D195" s="50" t="n"/>
    </row>
    <row r="196">
      <c r="D196" s="50" t="n"/>
    </row>
    <row r="197">
      <c r="D197" s="50" t="n"/>
    </row>
    <row r="198">
      <c r="D198" s="50" t="n"/>
    </row>
    <row r="199">
      <c r="D199" s="50" t="n"/>
    </row>
    <row r="200">
      <c r="D200" s="50" t="n"/>
    </row>
    <row r="201">
      <c r="D201" s="50" t="n"/>
    </row>
    <row r="202">
      <c r="D202" s="50" t="n"/>
    </row>
    <row r="203">
      <c r="D203" s="50" t="n"/>
    </row>
    <row r="204">
      <c r="D204" s="50" t="n"/>
    </row>
    <row r="205">
      <c r="D205" s="50" t="n"/>
    </row>
    <row r="206">
      <c r="D206" s="50" t="n"/>
    </row>
    <row r="207">
      <c r="D207" s="50" t="n"/>
    </row>
    <row r="208">
      <c r="D208" s="50" t="n"/>
    </row>
    <row r="209">
      <c r="D209" s="50" t="n"/>
    </row>
    <row r="210">
      <c r="D210" s="50" t="n"/>
    </row>
    <row r="211">
      <c r="D211" s="50" t="n"/>
    </row>
    <row r="212">
      <c r="D212" s="50" t="n"/>
    </row>
    <row r="213">
      <c r="D213" s="50" t="n"/>
    </row>
    <row r="214">
      <c r="D214" s="50" t="n"/>
    </row>
    <row r="215">
      <c r="D215" s="50" t="n"/>
    </row>
    <row r="216">
      <c r="D216" s="50" t="n"/>
    </row>
    <row r="217">
      <c r="D217" s="50" t="n"/>
    </row>
    <row r="218">
      <c r="D218" s="50" t="n"/>
    </row>
    <row r="219">
      <c r="D219" s="50" t="n"/>
    </row>
    <row r="220">
      <c r="D220" s="50" t="n"/>
    </row>
    <row r="221">
      <c r="D221" s="50" t="n"/>
    </row>
    <row r="222">
      <c r="D222" s="50" t="n"/>
    </row>
    <row r="223">
      <c r="D223" s="50" t="n"/>
    </row>
    <row r="224">
      <c r="D224" s="50" t="n"/>
    </row>
    <row r="225">
      <c r="D225" s="50" t="n"/>
    </row>
    <row r="226">
      <c r="D226" s="50" t="n"/>
    </row>
    <row r="227">
      <c r="D227" s="50" t="n"/>
    </row>
    <row r="228">
      <c r="D228" s="50" t="n"/>
    </row>
    <row r="229">
      <c r="D229" s="50" t="n"/>
    </row>
    <row r="230">
      <c r="D230" s="50" t="n"/>
    </row>
    <row r="231">
      <c r="D231" s="50" t="n"/>
    </row>
    <row r="232">
      <c r="D232" s="50" t="n"/>
    </row>
    <row r="233">
      <c r="D233" s="50" t="n"/>
    </row>
    <row r="234">
      <c r="D234" s="50" t="n"/>
    </row>
    <row r="235">
      <c r="D235" s="50" t="n"/>
    </row>
    <row r="236">
      <c r="D236" s="50" t="n"/>
    </row>
    <row r="237">
      <c r="D237" s="50" t="n"/>
    </row>
    <row r="238">
      <c r="D238" s="50" t="n"/>
    </row>
    <row r="239">
      <c r="D239" s="50" t="n"/>
    </row>
    <row r="240">
      <c r="D240" s="50" t="n"/>
    </row>
    <row r="241">
      <c r="D241" s="50" t="n"/>
    </row>
    <row r="242">
      <c r="D242" s="50" t="n"/>
    </row>
    <row r="243">
      <c r="D243" s="50" t="n"/>
    </row>
    <row r="244">
      <c r="D244" s="50" t="n"/>
    </row>
    <row r="245">
      <c r="D245" s="50" t="n"/>
    </row>
    <row r="246">
      <c r="D246" s="50" t="n"/>
    </row>
    <row r="247">
      <c r="D247" s="50" t="n"/>
    </row>
    <row r="248">
      <c r="D248" s="50" t="n"/>
    </row>
    <row r="249">
      <c r="D249" s="50" t="n"/>
    </row>
    <row r="250">
      <c r="D250" s="50" t="n"/>
    </row>
    <row r="251">
      <c r="D251" s="50" t="n"/>
    </row>
    <row r="252">
      <c r="D252" s="50" t="n"/>
    </row>
    <row r="253">
      <c r="D253" s="50" t="n"/>
    </row>
    <row r="254">
      <c r="D254" s="50" t="n"/>
    </row>
    <row r="255">
      <c r="D255" s="50" t="n"/>
    </row>
    <row r="256">
      <c r="D256" s="50" t="n"/>
    </row>
    <row r="257">
      <c r="D257" s="50" t="n"/>
    </row>
    <row r="258">
      <c r="D258" s="50" t="n"/>
    </row>
    <row r="259">
      <c r="D259" s="50" t="n"/>
    </row>
    <row r="260">
      <c r="D260" s="50" t="n"/>
    </row>
    <row r="261">
      <c r="D261" s="50" t="n"/>
    </row>
    <row r="262">
      <c r="D262" s="50" t="n"/>
    </row>
    <row r="263">
      <c r="D263" s="50" t="n"/>
    </row>
    <row r="264">
      <c r="D264" s="50" t="n"/>
    </row>
    <row r="265">
      <c r="D265" s="50" t="n"/>
    </row>
    <row r="266">
      <c r="D266" s="50" t="n"/>
    </row>
    <row r="267">
      <c r="D267" s="50" t="n"/>
    </row>
    <row r="268">
      <c r="D268" s="50" t="n"/>
    </row>
    <row r="269">
      <c r="D269" s="50" t="n"/>
    </row>
    <row r="270">
      <c r="D270" s="50" t="n"/>
    </row>
    <row r="271">
      <c r="D271" s="50" t="n"/>
    </row>
    <row r="272">
      <c r="D272" s="50" t="n"/>
    </row>
    <row r="273">
      <c r="D273" s="50" t="n"/>
    </row>
    <row r="274">
      <c r="D274" s="50" t="n"/>
    </row>
    <row r="275">
      <c r="D275" s="50" t="n"/>
    </row>
    <row r="276">
      <c r="D276" s="50" t="n"/>
    </row>
    <row r="277">
      <c r="D277" s="50" t="n"/>
    </row>
    <row r="278">
      <c r="D278" s="50" t="n"/>
    </row>
    <row r="279">
      <c r="D279" s="50" t="n"/>
    </row>
    <row r="280">
      <c r="D280" s="50" t="n"/>
    </row>
    <row r="281">
      <c r="D281" s="50" t="n"/>
    </row>
    <row r="282">
      <c r="D282" s="50" t="n"/>
    </row>
    <row r="283">
      <c r="D283" s="50" t="n"/>
    </row>
    <row r="284">
      <c r="D284" s="50" t="n"/>
    </row>
    <row r="285">
      <c r="D285" s="50" t="n"/>
    </row>
    <row r="286">
      <c r="D286" s="50" t="n"/>
    </row>
    <row r="287">
      <c r="D287" s="50" t="n"/>
    </row>
    <row r="288">
      <c r="D288" s="50" t="n"/>
    </row>
    <row r="289">
      <c r="D289" s="50" t="n"/>
    </row>
    <row r="290">
      <c r="D290" s="50" t="n"/>
    </row>
    <row r="291">
      <c r="D291" s="50" t="n"/>
    </row>
    <row r="292">
      <c r="D292" s="50" t="n"/>
    </row>
    <row r="293">
      <c r="D293" s="50" t="n"/>
    </row>
    <row r="294">
      <c r="D294" s="50" t="n"/>
    </row>
    <row r="295">
      <c r="D295" s="50" t="n"/>
    </row>
    <row r="296">
      <c r="D296" s="50" t="n"/>
    </row>
    <row r="297">
      <c r="D297" s="50" t="n"/>
    </row>
    <row r="298">
      <c r="D298" s="50" t="n"/>
    </row>
    <row r="299">
      <c r="D299" s="50" t="n"/>
    </row>
    <row r="300">
      <c r="D300" s="50" t="n"/>
    </row>
    <row r="301">
      <c r="D301" s="50" t="n"/>
    </row>
    <row r="302">
      <c r="D302" s="50" t="n"/>
    </row>
    <row r="303">
      <c r="D303" s="50" t="n"/>
    </row>
    <row r="304">
      <c r="D304" s="50" t="n"/>
    </row>
    <row r="305">
      <c r="D305" s="50" t="n"/>
    </row>
    <row r="306">
      <c r="D306" s="50" t="n"/>
    </row>
    <row r="307">
      <c r="D307" s="50" t="n"/>
    </row>
    <row r="308">
      <c r="D308" s="50" t="n"/>
    </row>
    <row r="309">
      <c r="D309" s="50" t="n"/>
    </row>
    <row r="310">
      <c r="D310" s="50" t="n"/>
    </row>
    <row r="311">
      <c r="D311" s="50" t="n"/>
    </row>
    <row r="312">
      <c r="D312" s="50" t="n"/>
    </row>
    <row r="313">
      <c r="D313" s="50" t="n"/>
    </row>
    <row r="314">
      <c r="D314" s="50" t="n"/>
    </row>
    <row r="315">
      <c r="D315" s="50" t="n"/>
    </row>
    <row r="316">
      <c r="D316" s="50" t="n"/>
    </row>
    <row r="317">
      <c r="D317" s="50" t="n"/>
    </row>
    <row r="318">
      <c r="D318" s="50" t="n"/>
    </row>
    <row r="319">
      <c r="D319" s="50" t="n"/>
    </row>
    <row r="320">
      <c r="D320" s="50" t="n"/>
    </row>
    <row r="321">
      <c r="D321" s="50" t="n"/>
    </row>
    <row r="322">
      <c r="D322" s="50" t="n"/>
    </row>
    <row r="323">
      <c r="D323" s="50" t="n"/>
    </row>
    <row r="324">
      <c r="D324" s="50" t="n"/>
    </row>
    <row r="325">
      <c r="D325" s="50" t="n"/>
    </row>
    <row r="326">
      <c r="D326" s="50" t="n"/>
    </row>
    <row r="327">
      <c r="D327" s="50" t="n"/>
    </row>
    <row r="328">
      <c r="D328" s="50" t="n"/>
    </row>
    <row r="329">
      <c r="D329" s="50" t="n"/>
    </row>
    <row r="330">
      <c r="D330" s="50" t="n"/>
    </row>
    <row r="331">
      <c r="D331" s="50" t="n"/>
    </row>
    <row r="332">
      <c r="D332" s="50" t="n"/>
    </row>
    <row r="333">
      <c r="D333" s="50" t="n"/>
    </row>
    <row r="334">
      <c r="D334" s="50" t="n"/>
    </row>
    <row r="335">
      <c r="D335" s="50" t="n"/>
    </row>
    <row r="336">
      <c r="D336" s="50" t="n"/>
    </row>
    <row r="337">
      <c r="D337" s="50" t="n"/>
    </row>
    <row r="338">
      <c r="D338" s="50" t="n"/>
    </row>
    <row r="339">
      <c r="D339" s="50" t="n"/>
    </row>
    <row r="340">
      <c r="D340" s="50" t="n"/>
    </row>
    <row r="341">
      <c r="D341" s="50" t="n"/>
    </row>
    <row r="342">
      <c r="D342" s="50" t="n"/>
    </row>
    <row r="343">
      <c r="D343" s="50" t="n"/>
    </row>
    <row r="344">
      <c r="D344" s="50" t="n"/>
    </row>
    <row r="345">
      <c r="D345" s="50" t="n"/>
    </row>
    <row r="346">
      <c r="D346" s="50" t="n"/>
    </row>
    <row r="347">
      <c r="D347" s="50" t="n"/>
    </row>
    <row r="348">
      <c r="D348" s="50" t="n"/>
    </row>
    <row r="349">
      <c r="D349" s="50" t="n"/>
    </row>
    <row r="350">
      <c r="D350" s="50" t="n"/>
    </row>
    <row r="351">
      <c r="D351" s="50" t="n"/>
    </row>
    <row r="352">
      <c r="D352" s="50" t="n"/>
    </row>
    <row r="353">
      <c r="D353" s="50" t="n"/>
    </row>
    <row r="354">
      <c r="D354" s="50" t="n"/>
    </row>
    <row r="355">
      <c r="D355" s="50" t="n"/>
    </row>
    <row r="356">
      <c r="D356" s="50" t="n"/>
    </row>
    <row r="357">
      <c r="D357" s="50" t="n"/>
    </row>
    <row r="358">
      <c r="D358" s="50" t="n"/>
    </row>
    <row r="359">
      <c r="D359" s="50" t="n"/>
    </row>
    <row r="360">
      <c r="D360" s="50" t="n"/>
    </row>
    <row r="361">
      <c r="D361" s="50" t="n"/>
    </row>
    <row r="362">
      <c r="D362" s="50" t="n"/>
    </row>
    <row r="363">
      <c r="D363" s="50" t="n"/>
    </row>
    <row r="364">
      <c r="D364" s="50" t="n"/>
    </row>
    <row r="365">
      <c r="D365" s="50" t="n"/>
    </row>
    <row r="366">
      <c r="D366" s="50" t="n"/>
    </row>
    <row r="367">
      <c r="D367" s="50" t="n"/>
    </row>
    <row r="368">
      <c r="D368" s="50" t="n"/>
    </row>
    <row r="369">
      <c r="D369" s="50" t="n"/>
    </row>
    <row r="370">
      <c r="D370" s="50" t="n"/>
    </row>
    <row r="371">
      <c r="D371" s="50" t="n"/>
    </row>
    <row r="372">
      <c r="D372" s="50" t="n"/>
    </row>
    <row r="373">
      <c r="D373" s="50" t="n"/>
    </row>
    <row r="374">
      <c r="D374" s="50" t="n"/>
    </row>
    <row r="375">
      <c r="D375" s="50" t="n"/>
    </row>
    <row r="376">
      <c r="D376" s="50" t="n"/>
    </row>
    <row r="377">
      <c r="D377" s="50" t="n"/>
    </row>
    <row r="378">
      <c r="D378" s="50" t="n"/>
    </row>
    <row r="379">
      <c r="D379" s="50" t="n"/>
    </row>
    <row r="380">
      <c r="D380" s="50" t="n"/>
    </row>
    <row r="381">
      <c r="D381" s="50" t="n"/>
    </row>
    <row r="382">
      <c r="D382" s="50" t="n"/>
    </row>
    <row r="383">
      <c r="D383" s="50" t="n"/>
    </row>
    <row r="384">
      <c r="D384" s="50" t="n"/>
    </row>
    <row r="385">
      <c r="D385" s="50" t="n"/>
    </row>
    <row r="386">
      <c r="D386" s="50" t="n"/>
    </row>
    <row r="387">
      <c r="D387" s="50" t="n"/>
    </row>
    <row r="388">
      <c r="D388" s="50" t="n"/>
    </row>
    <row r="389">
      <c r="D389" s="50" t="n"/>
    </row>
    <row r="390">
      <c r="D390" s="50" t="n"/>
    </row>
    <row r="391">
      <c r="D391" s="50" t="n"/>
    </row>
    <row r="392">
      <c r="D392" s="50" t="n"/>
    </row>
    <row r="393">
      <c r="D393" s="50" t="n"/>
    </row>
    <row r="394">
      <c r="D394" s="50" t="n"/>
    </row>
    <row r="395">
      <c r="D395" s="50" t="n"/>
    </row>
    <row r="396">
      <c r="D396" s="50" t="n"/>
    </row>
    <row r="397">
      <c r="D397" s="50" t="n"/>
    </row>
    <row r="398">
      <c r="D398" s="50" t="n"/>
    </row>
    <row r="399">
      <c r="D399" s="50" t="n"/>
    </row>
    <row r="400">
      <c r="D400" s="50" t="n"/>
    </row>
    <row r="401">
      <c r="D401" s="50" t="n"/>
    </row>
    <row r="402">
      <c r="D402" s="50" t="n"/>
    </row>
    <row r="403">
      <c r="D403" s="50" t="n"/>
    </row>
    <row r="404">
      <c r="D404" s="50" t="n"/>
    </row>
    <row r="405">
      <c r="D405" s="50" t="n"/>
    </row>
    <row r="406">
      <c r="D406" s="50" t="n"/>
    </row>
    <row r="407">
      <c r="D407" s="50" t="n"/>
    </row>
    <row r="408">
      <c r="D408" s="50" t="n"/>
    </row>
    <row r="409">
      <c r="D409" s="50" t="n"/>
    </row>
    <row r="410">
      <c r="D410" s="50" t="n"/>
    </row>
    <row r="411">
      <c r="D411" s="50" t="n"/>
    </row>
    <row r="412">
      <c r="D412" s="50" t="n"/>
    </row>
    <row r="413">
      <c r="D413" s="50" t="n"/>
    </row>
    <row r="414">
      <c r="D414" s="50" t="n"/>
    </row>
    <row r="415">
      <c r="D415" s="50" t="n"/>
    </row>
    <row r="416">
      <c r="D416" s="50" t="n"/>
    </row>
    <row r="417">
      <c r="D417" s="50" t="n"/>
    </row>
    <row r="418">
      <c r="D418" s="50" t="n"/>
    </row>
    <row r="419">
      <c r="D419" s="50" t="n"/>
    </row>
    <row r="420">
      <c r="D420" s="50" t="n"/>
    </row>
    <row r="421">
      <c r="D421" s="50" t="n"/>
    </row>
    <row r="422">
      <c r="D422" s="50" t="n"/>
    </row>
    <row r="423">
      <c r="D423" s="50" t="n"/>
    </row>
    <row r="424">
      <c r="D424" s="50" t="n"/>
    </row>
    <row r="425">
      <c r="D425" s="50" t="n"/>
    </row>
    <row r="426">
      <c r="D426" s="50" t="n"/>
    </row>
    <row r="427">
      <c r="D427" s="50" t="n"/>
    </row>
    <row r="428">
      <c r="D428" s="50" t="n"/>
    </row>
    <row r="429">
      <c r="D429" s="50" t="n"/>
    </row>
    <row r="430">
      <c r="D430" s="50" t="n"/>
    </row>
    <row r="431">
      <c r="D431" s="50" t="n"/>
    </row>
    <row r="432">
      <c r="D432" s="50" t="n"/>
    </row>
    <row r="433">
      <c r="D433" s="50" t="n"/>
    </row>
    <row r="434">
      <c r="D434" s="50" t="n"/>
    </row>
    <row r="435">
      <c r="D435" s="50" t="n"/>
    </row>
    <row r="436">
      <c r="D436" s="50" t="n"/>
    </row>
    <row r="437">
      <c r="D437" s="50" t="n"/>
    </row>
    <row r="438">
      <c r="D438" s="50" t="n"/>
    </row>
    <row r="439">
      <c r="D439" s="50" t="n"/>
    </row>
    <row r="440">
      <c r="D440" s="50" t="n"/>
    </row>
    <row r="441">
      <c r="D441" s="50" t="n"/>
    </row>
    <row r="442">
      <c r="D442" s="50" t="n"/>
    </row>
    <row r="443">
      <c r="D443" s="50" t="n"/>
    </row>
    <row r="444">
      <c r="D444" s="50" t="n"/>
    </row>
    <row r="445">
      <c r="D445" s="50" t="n"/>
    </row>
    <row r="446">
      <c r="D446" s="50" t="n"/>
    </row>
    <row r="447">
      <c r="D447" s="50" t="n"/>
    </row>
    <row r="448">
      <c r="D448" s="50" t="n"/>
    </row>
    <row r="449">
      <c r="D449" s="50" t="n"/>
    </row>
    <row r="450">
      <c r="D450" s="50" t="n"/>
    </row>
    <row r="451">
      <c r="D451" s="50" t="n"/>
    </row>
    <row r="452">
      <c r="D452" s="50" t="n"/>
    </row>
    <row r="453">
      <c r="D453" s="50" t="n"/>
    </row>
    <row r="454">
      <c r="D454" s="50" t="n"/>
    </row>
    <row r="455">
      <c r="D455" s="50" t="n"/>
    </row>
    <row r="456">
      <c r="D456" s="50" t="n"/>
    </row>
    <row r="457">
      <c r="D457" s="50" t="n"/>
    </row>
    <row r="458">
      <c r="D458" s="50" t="n"/>
    </row>
    <row r="459">
      <c r="D459" s="50" t="n"/>
    </row>
    <row r="460">
      <c r="D460" s="50" t="n"/>
    </row>
    <row r="461">
      <c r="D461" s="50" t="n"/>
    </row>
    <row r="462">
      <c r="D462" s="50" t="n"/>
    </row>
    <row r="463">
      <c r="D463" s="50" t="n"/>
    </row>
    <row r="464">
      <c r="D464" s="50" t="n"/>
    </row>
    <row r="465">
      <c r="D465" s="50" t="n"/>
    </row>
    <row r="466">
      <c r="D466" s="50" t="n"/>
    </row>
    <row r="467">
      <c r="D467" s="50" t="n"/>
    </row>
    <row r="468">
      <c r="D468" s="50" t="n"/>
    </row>
    <row r="469">
      <c r="D469" s="50" t="n"/>
    </row>
    <row r="470">
      <c r="D470" s="50" t="n"/>
    </row>
    <row r="471">
      <c r="D471" s="50" t="n"/>
    </row>
    <row r="472">
      <c r="D472" s="50" t="n"/>
    </row>
    <row r="473">
      <c r="D473" s="50" t="n"/>
    </row>
    <row r="474">
      <c r="D474" s="50" t="n"/>
    </row>
    <row r="475">
      <c r="D475" s="50" t="n"/>
    </row>
    <row r="476">
      <c r="D476" s="50" t="n"/>
    </row>
    <row r="477">
      <c r="D477" s="50" t="n"/>
    </row>
    <row r="478">
      <c r="D478" s="50" t="n"/>
    </row>
    <row r="479">
      <c r="D479" s="50" t="n"/>
    </row>
    <row r="480">
      <c r="D480" s="50" t="n"/>
    </row>
    <row r="481">
      <c r="D481" s="50" t="n"/>
    </row>
    <row r="482">
      <c r="D482" s="50" t="n"/>
    </row>
    <row r="483">
      <c r="D483" s="50" t="n"/>
    </row>
    <row r="484">
      <c r="D484" s="50" t="n"/>
    </row>
    <row r="485">
      <c r="D485" s="50" t="n"/>
    </row>
    <row r="486">
      <c r="D486" s="50" t="n"/>
    </row>
    <row r="487">
      <c r="D487" s="50" t="n"/>
    </row>
    <row r="488">
      <c r="D488" s="50" t="n"/>
    </row>
    <row r="489">
      <c r="D489" s="50" t="n"/>
    </row>
    <row r="490">
      <c r="D490" s="50" t="n"/>
    </row>
    <row r="491">
      <c r="D491" s="50" t="n"/>
    </row>
    <row r="492">
      <c r="D492" s="50" t="n"/>
    </row>
    <row r="493">
      <c r="D493" s="50" t="n"/>
    </row>
    <row r="494">
      <c r="D494" s="50" t="n"/>
    </row>
    <row r="495">
      <c r="D495" s="50" t="n"/>
    </row>
    <row r="496">
      <c r="D496" s="50" t="n"/>
    </row>
    <row r="497">
      <c r="D497" s="50" t="n"/>
    </row>
    <row r="498">
      <c r="D498" s="50" t="n"/>
    </row>
    <row r="499">
      <c r="D499" s="50" t="n"/>
    </row>
    <row r="500">
      <c r="D500" s="50" t="n"/>
    </row>
  </sheetData>
  <conditionalFormatting sqref="I2:I500">
    <cfRule type="cellIs" priority="1" dxfId="0">
      <formula>"Critical"</formula>
    </cfRule>
    <cfRule type="cellIs" priority="2" dxfId="1">
      <formula>"High"</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500"/>
  <sheetViews>
    <sheetView workbookViewId="0">
      <selection activeCell="A1" sqref="A1"/>
    </sheetView>
  </sheetViews>
  <sheetFormatPr baseColWidth="8" defaultRowHeight="15"/>
  <cols>
    <col width="10" customWidth="1" min="1" max="1"/>
    <col width="26" customWidth="1" min="2" max="2"/>
    <col width="16" customWidth="1" min="3" max="3"/>
    <col width="42" customWidth="1" min="4" max="4"/>
    <col width="28" customWidth="1" min="5" max="5"/>
    <col width="38" customWidth="1" min="6" max="6"/>
    <col width="40" customWidth="1" min="7" max="7"/>
    <col width="30" customWidth="1" min="8" max="8"/>
    <col width="24" customWidth="1" min="9" max="9"/>
    <col width="14" customWidth="1" min="10" max="10"/>
    <col width="50" customWidth="1" min="11" max="11"/>
    <col width="56" customWidth="1" min="12" max="12"/>
    <col width="40" customWidth="1" min="13" max="13"/>
  </cols>
  <sheetData>
    <row r="1">
      <c r="A1" s="30" t="inlineStr">
        <is>
          <t>ID</t>
        </is>
      </c>
      <c r="B1" s="30" t="inlineStr">
        <is>
          <t>Source Outlet</t>
        </is>
      </c>
      <c r="C1" s="30" t="inlineStr">
        <is>
          <t>Published / Event Date</t>
        </is>
      </c>
      <c r="D1" s="30" t="inlineStr">
        <is>
          <t>Title / Record</t>
        </is>
      </c>
      <c r="E1" s="30" t="inlineStr">
        <is>
          <t>Issue Lane</t>
        </is>
      </c>
      <c r="F1" s="30" t="inlineStr">
        <is>
          <t>Entities / Offices Mentioned</t>
        </is>
      </c>
      <c r="G1" s="30" t="inlineStr">
        <is>
          <t>Agenda / Decision Hook</t>
        </is>
      </c>
      <c r="H1" s="30" t="inlineStr">
        <is>
          <t>Pattern Tag</t>
        </is>
      </c>
      <c r="I1" s="30" t="inlineStr">
        <is>
          <t>Evidence Status</t>
        </is>
      </c>
      <c r="J1" s="30" t="inlineStr">
        <is>
          <t>Priority</t>
        </is>
      </c>
      <c r="K1" s="30" t="inlineStr">
        <is>
          <t>Follow-up Record Needed</t>
        </is>
      </c>
      <c r="L1" s="30" t="inlineStr">
        <is>
          <t>Source URL</t>
        </is>
      </c>
      <c r="M1" s="30" t="inlineStr">
        <is>
          <t>Notes</t>
        </is>
      </c>
    </row>
    <row r="2">
      <c r="A2" t="inlineStr">
        <is>
          <t>PA-001</t>
        </is>
      </c>
      <c r="B2" t="inlineStr">
        <is>
          <t>Bluebonnet News</t>
        </is>
      </c>
      <c r="C2" s="50" t="n">
        <v>45370</v>
      </c>
      <c r="D2" t="inlineStr">
        <is>
          <t>Texas Attorney General sues Colony Ridge development for deceptive practices and fraud</t>
        </is>
      </c>
      <c r="E2" t="inlineStr">
        <is>
          <t>Enforcement / Developer Practices</t>
        </is>
      </c>
      <c r="F2" t="inlineStr">
        <is>
          <t>Texas AG; Colony Ridge; Liberty County</t>
        </is>
      </c>
      <c r="G2" t="inlineStr">
        <is>
          <t>State civil enforcement allegations against developer practices</t>
        </is>
      </c>
      <c r="H2" t="inlineStr">
        <is>
          <t>Enforcement trigger; buyer/flood/infrastructure representations</t>
        </is>
      </c>
      <c r="I2" t="inlineStr">
        <is>
          <t>Public-source finding</t>
        </is>
      </c>
      <c r="J2" t="inlineStr">
        <is>
          <t>High</t>
        </is>
      </c>
      <c r="K2" t="inlineStr">
        <is>
          <t>Original AG petition; docket filings; settlement order; sales docs; flood-risk disclosures</t>
        </is>
      </c>
      <c r="L2" t="inlineStr">
        <is>
          <t>https://bluebonnetnews.com/2024/03/19/texas-attorney-general-sues-colony-ridge-development-for-deceptive-practices-and-fraud/</t>
        </is>
      </c>
      <c r="M2" t="inlineStr">
        <is>
          <t>Use as media lead; validate through AG/court filings before report language.</t>
        </is>
      </c>
    </row>
    <row r="3">
      <c r="A3" t="inlineStr">
        <is>
          <t>PA-002</t>
        </is>
      </c>
      <c r="B3" t="inlineStr">
        <is>
          <t>Bluebonnet News</t>
        </is>
      </c>
      <c r="C3" s="50" t="n">
        <v>45531</v>
      </c>
      <c r="D3" t="inlineStr">
        <is>
          <t>Liberty County approves $4.677 million contract for new Northwest Annex in Colony Ridge communities</t>
        </is>
      </c>
      <c r="E3" t="inlineStr">
        <is>
          <t>County Procurement / Infrastructure</t>
        </is>
      </c>
      <c r="F3" t="inlineStr">
        <is>
          <t>Liberty County Commissioners Court; White Construction; Burns Architecture; Sheriff; Constable Pct. 6; Permits Department</t>
        </is>
      </c>
      <c r="G3" t="inlineStr">
        <is>
          <t>Commissioners Court approval of county annex contract in Colony Ridge area</t>
        </is>
      </c>
      <c r="H3" t="inlineStr">
        <is>
          <t>Public facility spend in developer-growth area; vendor/architect check</t>
        </is>
      </c>
      <c r="I3" t="inlineStr">
        <is>
          <t>Public-source finding</t>
        </is>
      </c>
      <c r="J3" t="inlineStr">
        <is>
          <t>High</t>
        </is>
      </c>
      <c r="K3" t="inlineStr">
        <is>
          <t>Commissioners agenda packet; minutes; executed contract; bid tab; Form 1295; payment/warrant history; change orders</t>
        </is>
      </c>
      <c r="L3" t="inlineStr">
        <is>
          <t>https://bluebonnetnews.com/2024/08/27/liberty-county-approves-4-677-million-contract-for-new-northwest-annex-in-colony-ridge-communities/</t>
        </is>
      </c>
      <c r="M3" t="inlineStr">
        <is>
          <t>Strong first procurement case study because amount/vendor/project are identified.</t>
        </is>
      </c>
    </row>
    <row r="4">
      <c r="A4" t="inlineStr">
        <is>
          <t>PA-003</t>
        </is>
      </c>
      <c r="B4" t="inlineStr">
        <is>
          <t>Bluebonnet News</t>
        </is>
      </c>
      <c r="C4" s="50" t="n">
        <v>45714</v>
      </c>
      <c r="D4" t="inlineStr">
        <is>
          <t>ICE targets Colony Ridge, arrests 118 in major sweep</t>
        </is>
      </c>
      <c r="E4" t="inlineStr">
        <is>
          <t>Law Enforcement / Public Safety</t>
        </is>
      </c>
      <c r="F4" t="inlineStr">
        <is>
          <t>ICE; Colony Ridge; Liberty County; multi-agency enforcement</t>
        </is>
      </c>
      <c r="G4" t="inlineStr">
        <is>
          <t>Large enforcement operation inside Colony Ridge</t>
        </is>
      </c>
      <c r="H4" t="inlineStr">
        <is>
          <t>Public-safety pressure; enforcement narrative; political messaging</t>
        </is>
      </c>
      <c r="I4" t="inlineStr">
        <is>
          <t>Public-source finding</t>
        </is>
      </c>
      <c r="J4" t="inlineStr">
        <is>
          <t>Medium</t>
        </is>
      </c>
      <c r="K4" t="inlineStr">
        <is>
          <t>ICE release; DPS/LCSO support records; local resource costs; Commissioners public-safety agenda items</t>
        </is>
      </c>
      <c r="L4" t="inlineStr">
        <is>
          <t>https://bluebonnetnews.com/2025/02/26/ice-targets-colony-ridge-arrests-118-in-major-sweep/</t>
        </is>
      </c>
      <c r="M4" t="inlineStr">
        <is>
          <t>Keep separate from corruption claims unless tied to budgets/contracts/enforcement decisions.</t>
        </is>
      </c>
    </row>
    <row r="5">
      <c r="A5" t="inlineStr">
        <is>
          <t>PA-004</t>
        </is>
      </c>
      <c r="B5" t="inlineStr">
        <is>
          <t>Bluebonnet News</t>
        </is>
      </c>
      <c r="C5" s="50" t="n">
        <v>45887</v>
      </c>
      <c r="D5" t="inlineStr">
        <is>
          <t>Commissioners hear updates on county jail, approve land purchase</t>
        </is>
      </c>
      <c r="E5" t="inlineStr">
        <is>
          <t>County Operations / Capital Spending</t>
        </is>
      </c>
      <c r="F5" t="inlineStr">
        <is>
          <t>Liberty County Commissioners Court; Sheriff Bobby Rader; Texas Commission on Jail Standards</t>
        </is>
      </c>
      <c r="G5" t="inlineStr">
        <is>
          <t>County jail deficiency update; land purchase approval</t>
        </is>
      </c>
      <c r="H5" t="inlineStr">
        <is>
          <t>Capital expenditure; compliance pressure; land acquisition</t>
        </is>
      </c>
      <c r="I5" t="inlineStr">
        <is>
          <t>Public-source finding</t>
        </is>
      </c>
      <c r="J5" t="inlineStr">
        <is>
          <t>Medium</t>
        </is>
      </c>
      <c r="K5" t="inlineStr">
        <is>
          <t>Agenda/minutes; land purchase deed/contract; jail commission deficiency reports; warrants payable</t>
        </is>
      </c>
      <c r="L5" t="inlineStr">
        <is>
          <t>https://bluebonnetnews.com/2025/08/18/commissioners-hear-updates-on-county-jail-approve-land-purchase/</t>
        </is>
      </c>
      <c r="M5" t="inlineStr">
        <is>
          <t>Track if land acquisition connects to political families/vendors/developers.</t>
        </is>
      </c>
    </row>
    <row r="6">
      <c r="A6" t="inlineStr">
        <is>
          <t>PA-005</t>
        </is>
      </c>
      <c r="B6" t="inlineStr">
        <is>
          <t>Bluebonnet News</t>
        </is>
      </c>
      <c r="C6" s="50" t="n">
        <v>45924</v>
      </c>
      <c r="D6" t="inlineStr">
        <is>
          <t>Liberty County commissioners approve budget, tax rate for new fiscal year</t>
        </is>
      </c>
      <c r="E6" t="inlineStr">
        <is>
          <t>Tax / Budget / County Finance</t>
        </is>
      </c>
      <c r="F6" t="inlineStr">
        <is>
          <t>Liberty County Commissioners Court; County Judge Jay Knight</t>
        </is>
      </c>
      <c r="G6" t="inlineStr">
        <is>
          <t>FY 2025-2026 budget and tax-rate approval</t>
        </is>
      </c>
      <c r="H6" t="inlineStr">
        <is>
          <t>Taxpayer burden; budget growth; infrastructure pressure</t>
        </is>
      </c>
      <c r="I6" t="inlineStr">
        <is>
          <t>Public-source finding</t>
        </is>
      </c>
      <c r="J6" t="inlineStr">
        <is>
          <t>High</t>
        </is>
      </c>
      <c r="K6" t="inlineStr">
        <is>
          <t>Adopted budget; tax rate worksheets; hearing notices; department budget changes; capital project list</t>
        </is>
      </c>
      <c r="L6" t="inlineStr">
        <is>
          <t>https://bluebonnetnews.com/2025/09/24/liberty-county-commissioners-approve-budget-tax-rate-for-new-fiscal-year/</t>
        </is>
      </c>
      <c r="M6" t="inlineStr">
        <is>
          <t>Use to tie growth/debt claims to actual tax and budget records.</t>
        </is>
      </c>
    </row>
    <row r="7">
      <c r="A7" t="inlineStr">
        <is>
          <t>PA-006</t>
        </is>
      </c>
      <c r="B7" t="inlineStr">
        <is>
          <t>The Vindicator</t>
        </is>
      </c>
      <c r="C7" s="50" t="n">
        <v>45687</v>
      </c>
      <c r="D7" t="inlineStr">
        <is>
          <t>Master Drainage Plan coming along</t>
        </is>
      </c>
      <c r="E7" t="inlineStr">
        <is>
          <t>Drainage / Engineering / Floodplain</t>
        </is>
      </c>
      <c r="F7" t="inlineStr">
        <is>
          <t>Liberty County Commissioners Court; LJA Engineering; Harris County</t>
        </is>
      </c>
      <c r="G7" t="inlineStr">
        <is>
          <t>Workshop/update on county Master Drainage Plan</t>
        </is>
      </c>
      <c r="H7" t="inlineStr">
        <is>
          <t>Engineering vendor; floodplain standards; regional pressure</t>
        </is>
      </c>
      <c r="I7" t="inlineStr">
        <is>
          <t>Public-source finding</t>
        </is>
      </c>
      <c r="J7" t="inlineStr">
        <is>
          <t>High</t>
        </is>
      </c>
      <c r="K7" t="inlineStr">
        <is>
          <t>Workshop video/minutes; LJA contract; scope; invoices; Harris County minimum requirements; floodplain ordinance updates</t>
        </is>
      </c>
      <c r="L7" t="inlineStr">
        <is>
          <t>https://www.thevindicator.com/article/269%2Cmaster-drainage-plan-coming-along</t>
        </is>
      </c>
      <c r="M7" t="inlineStr">
        <is>
          <t>Bridge between Colony Ridge/drainage complaints and county engineering decisions.</t>
        </is>
      </c>
    </row>
    <row r="8">
      <c r="A8" t="inlineStr">
        <is>
          <t>PA-007</t>
        </is>
      </c>
      <c r="B8" t="inlineStr">
        <is>
          <t>The Vindicator</t>
        </is>
      </c>
      <c r="C8" s="50" t="n">
        <v>46010</v>
      </c>
      <c r="D8" t="inlineStr">
        <is>
          <t>Colony Ridge settles lawsuit</t>
        </is>
      </c>
      <c r="E8" t="inlineStr">
        <is>
          <t>Litigation / Settlement</t>
        </is>
      </c>
      <c r="F8" t="inlineStr">
        <is>
          <t>CFPB; United States; Colony Ridge Development; Southern District of Texas</t>
        </is>
      </c>
      <c r="G8" t="inlineStr">
        <is>
          <t>Joint status report indicating settlement path</t>
        </is>
      </c>
      <c r="H8" t="inlineStr">
        <is>
          <t>Settlement compliance; infrastructure/public-safety funding; victim relief gap</t>
        </is>
      </c>
      <c r="I8" t="inlineStr">
        <is>
          <t>Public-source finding</t>
        </is>
      </c>
      <c r="J8" t="inlineStr">
        <is>
          <t>High</t>
        </is>
      </c>
      <c r="K8" t="inlineStr">
        <is>
          <t>Joint status report; proposed consent order; final order; settlement compliance monitor reports</t>
        </is>
      </c>
      <c r="L8" t="inlineStr">
        <is>
          <t>https://www.thevindicator.com/article/2157%2Ccolony-ridge-settles-lawsuit</t>
        </is>
      </c>
      <c r="M8" t="inlineStr">
        <is>
          <t>Validate docket entries.</t>
        </is>
      </c>
    </row>
    <row r="9">
      <c r="A9" t="inlineStr">
        <is>
          <t>PA-008</t>
        </is>
      </c>
      <c r="B9" t="inlineStr">
        <is>
          <t>Houston Chronicle</t>
        </is>
      </c>
      <c r="C9" s="50" t="n">
        <v>45712</v>
      </c>
      <c r="D9" t="inlineStr">
        <is>
          <t>What is Colony Ridge and why is it controversial?</t>
        </is>
      </c>
      <c r="E9" t="inlineStr">
        <is>
          <t>Background / Development Scale / Politics</t>
        </is>
      </c>
      <c r="F9" t="inlineStr">
        <is>
          <t>Colony Ridge; John Harris; Trey Harris; Cleveland ISD; Liberty County</t>
        </is>
      </c>
      <c r="G9" t="inlineStr">
        <is>
          <t>Explainer on scale, school strain, lawsuits, and enforcement context</t>
        </is>
      </c>
      <c r="H9" t="inlineStr">
        <is>
          <t>Population growth; school-bond pressure; developer practices</t>
        </is>
      </c>
      <c r="I9" t="inlineStr">
        <is>
          <t>Public-source finding</t>
        </is>
      </c>
      <c r="J9" t="inlineStr">
        <is>
          <t>Medium</t>
        </is>
      </c>
      <c r="K9" t="inlineStr">
        <is>
          <t>Chronicle analysis; CISD enrollment data; bond election records; tax-base data; developer land records</t>
        </is>
      </c>
      <c r="L9" t="inlineStr">
        <is>
          <t>https://www.houstonchronicle.com/news/houston-texas/trending/article/colony-ridge-controversy-know-dps-ice-20185078.php</t>
        </is>
      </c>
      <c r="M9" t="inlineStr">
        <is>
          <t>Context only; official records needed for procurement/conflict conclusions.</t>
        </is>
      </c>
    </row>
    <row r="10">
      <c r="A10" t="inlineStr">
        <is>
          <t>PA-009</t>
        </is>
      </c>
      <c r="B10" t="inlineStr">
        <is>
          <t>Houston Chronicle</t>
        </is>
      </c>
      <c r="C10" s="50" t="n">
        <v>46113</v>
      </c>
      <c r="D10" t="inlineStr">
        <is>
          <t>Developers urge court to accept Colony Ridge settlement despite civil rights objections</t>
        </is>
      </c>
      <c r="E10" t="inlineStr">
        <is>
          <t>Settlement / Civil Rights / Enforcement</t>
        </is>
      </c>
      <c r="F10" t="inlineStr">
        <is>
          <t>Colony Ridge; DOJ; State of Texas; civil rights groups; National Fair Housing Alliance</t>
        </is>
      </c>
      <c r="G10" t="inlineStr">
        <is>
          <t>Court approval dispute around proposed $68M settlement</t>
        </is>
      </c>
      <c r="H10" t="inlineStr">
        <is>
          <t>Settlement adequacy; direct relief; public-safety allocation</t>
        </is>
      </c>
      <c r="I10" t="inlineStr">
        <is>
          <t>Public-source finding</t>
        </is>
      </c>
      <c r="J10" t="inlineStr">
        <is>
          <t>High</t>
        </is>
      </c>
      <c r="K10" t="inlineStr">
        <is>
          <t>Court hearing transcript; objections; proposed/final order; DOJ/State filings; compliance plan</t>
        </is>
      </c>
      <c r="L10" t="inlineStr">
        <is>
          <t>https://www.houstonchronicle.com/news/houston-texas/immigration/article/colony-ridge-settlement-court-dispute-22093890.php</t>
        </is>
      </c>
      <c r="M10" t="inlineStr">
        <is>
          <t>Track developer and civil-rights objections for counterfactual review.</t>
        </is>
      </c>
    </row>
    <row r="11">
      <c r="A11" t="inlineStr">
        <is>
          <t>PA-010</t>
        </is>
      </c>
      <c r="B11" t="inlineStr">
        <is>
          <t>Houston Chronicle</t>
        </is>
      </c>
      <c r="C11" s="50" t="n">
        <v>45992</v>
      </c>
      <c r="D11" t="inlineStr">
        <is>
          <t>As Houston developers take advantage of floodplain loopholes, homeowners pay the price</t>
        </is>
      </c>
      <c r="E11" t="inlineStr">
        <is>
          <t>Floodplain / Drainage / Development Standards</t>
        </is>
      </c>
      <c r="F11" t="inlineStr">
        <is>
          <t>Greater Houston counties; Liberty County; Colony Ridge; Harris County</t>
        </is>
      </c>
      <c r="G11" t="inlineStr">
        <is>
          <t>Investigative reporting on floodplain regulation disparities and loopholes</t>
        </is>
      </c>
      <c r="H11" t="inlineStr">
        <is>
          <t>Drainage externality; public-cost/private-profit theory</t>
        </is>
      </c>
      <c r="I11" t="inlineStr">
        <is>
          <t>Public-source finding</t>
        </is>
      </c>
      <c r="J11" t="inlineStr">
        <is>
          <t>High</t>
        </is>
      </c>
      <c r="K11" t="inlineStr">
        <is>
          <t>County floodplain rules; drainage studies; permits; TCEQ files; engineering reports; homeowner complaints</t>
        </is>
      </c>
      <c r="L11" t="inlineStr">
        <is>
          <t>https://www.houstonchronicle.com/news/investigations/article/houston-floodplains-development-loopholes-21079222.php</t>
        </is>
      </c>
      <c r="M11" t="inlineStr">
        <is>
          <t>Pair with official permit/drainage records.</t>
        </is>
      </c>
    </row>
    <row r="12">
      <c r="A12" t="inlineStr">
        <is>
          <t>PA-011</t>
        </is>
      </c>
      <c r="B12" t="inlineStr">
        <is>
          <t>Houston Chronicle / iPublish Marketplace</t>
        </is>
      </c>
      <c r="C12" s="50" t="n">
        <v>45817</v>
      </c>
      <c r="D12" t="inlineStr">
        <is>
          <t>Public notice: Colony Ridge Development / Liberty County MMD No. 1 bids for San Marcos Drive reconstruction</t>
        </is>
      </c>
      <c r="E12" t="inlineStr">
        <is>
          <t>Bids / MMD / Infrastructure</t>
        </is>
      </c>
      <c r="F12" t="inlineStr">
        <is>
          <t>Colony Ridge Development; Liberty County MMD No. 1; San Marcos Drive</t>
        </is>
      </c>
      <c r="G12" t="inlineStr">
        <is>
          <t>Bid notice for public street reconstruction</t>
        </is>
      </c>
      <c r="H12" t="inlineStr">
        <is>
          <t>Bid opportunity; MMD infrastructure; developer-district interface</t>
        </is>
      </c>
      <c r="I12" t="inlineStr">
        <is>
          <t>Public notice</t>
        </is>
      </c>
      <c r="J12" t="inlineStr">
        <is>
          <t>High</t>
        </is>
      </c>
      <c r="K12" t="inlineStr">
        <is>
          <t>Bid documents; planholders list; awarded contract; board minutes; engineer estimate; payment applications</t>
        </is>
      </c>
      <c r="L12" t="inlineStr">
        <is>
          <t>https://marketplace.houstonchronicle.com/houston-marketplace/advert/-general_25488</t>
        </is>
      </c>
      <c r="M12" t="inlineStr">
        <is>
          <t>Direct procurement lead.</t>
        </is>
      </c>
    </row>
    <row r="13">
      <c r="A13" t="inlineStr">
        <is>
          <t>PA-012</t>
        </is>
      </c>
      <c r="B13" t="inlineStr">
        <is>
          <t>Houston Chronicle / iPublish Marketplace</t>
        </is>
      </c>
      <c r="C13" s="50" t="n">
        <v>45583</v>
      </c>
      <c r="D13" t="inlineStr">
        <is>
          <t>Notice to property owners within Liberty County MUD No. 14</t>
        </is>
      </c>
      <c r="E13" t="inlineStr">
        <is>
          <t>MUD Governance / Public Hearing</t>
        </is>
      </c>
      <c r="F13" t="inlineStr">
        <is>
          <t>Liberty County MUD No. 14; Schwartz, Page &amp; Harding</t>
        </is>
      </c>
      <c r="G13" t="inlineStr">
        <is>
          <t>Public hearing for property owners within district</t>
        </is>
      </c>
      <c r="H13" t="inlineStr">
        <is>
          <t>MUD public notice; district counsel; governance event</t>
        </is>
      </c>
      <c r="I13" t="inlineStr">
        <is>
          <t>Public notice</t>
        </is>
      </c>
      <c r="J13" t="inlineStr">
        <is>
          <t>Medium</t>
        </is>
      </c>
      <c r="K13" t="inlineStr">
        <is>
          <t>Hearing notice backup; board minutes; agenda; engineer report; tax/bond notices; district map</t>
        </is>
      </c>
      <c r="L13" t="inlineStr">
        <is>
          <t>https://marketplace.houstonchronicle.com/houston-marketplace/advert/to-all-persons-who-own-property-within-liberty-county-municipal-general_21592</t>
        </is>
      </c>
      <c r="M13" t="inlineStr">
        <is>
          <t>Useful for MUD hearing calendar and counsel mapping.</t>
        </is>
      </c>
    </row>
    <row r="14">
      <c r="A14" t="inlineStr">
        <is>
          <t>PA-013</t>
        </is>
      </c>
      <c r="B14" t="inlineStr">
        <is>
          <t>Montgomery County Police Reporter</t>
        </is>
      </c>
      <c r="C14" s="50" t="n">
        <v>46054</v>
      </c>
      <c r="D14" t="inlineStr">
        <is>
          <t>AG Paxton secures major victory stopping Colony Ridge and forcing developers to pay $68 million</t>
        </is>
      </c>
      <c r="E14" t="inlineStr">
        <is>
          <t>Enforcement / Political Messaging</t>
        </is>
      </c>
      <c r="F14" t="inlineStr">
        <is>
          <t>Texas AG; DOJ; Colony Ridge</t>
        </is>
      </c>
      <c r="G14" t="inlineStr">
        <is>
          <t>Public narrative around settlement and state/federal enforcement</t>
        </is>
      </c>
      <c r="H14" t="inlineStr">
        <is>
          <t>State enforcement narrative; political framing</t>
        </is>
      </c>
      <c r="I14" t="inlineStr">
        <is>
          <t>Public-source finding</t>
        </is>
      </c>
      <c r="J14" t="inlineStr">
        <is>
          <t>Medium</t>
        </is>
      </c>
      <c r="K14" t="inlineStr">
        <is>
          <t>DOJ settlement release; Texas AG release; final order; exact settlement terms</t>
        </is>
      </c>
      <c r="L14" t="inlineStr">
        <is>
          <t>https://montgomerycountypolicereporter.com/ag-paxton-secures-major-victory-stopping-colony-ridges-illegal-alien-haven-and-forcing-the-developers-to-pay-68-million-in-penalties/</t>
        </is>
      </c>
      <c r="M14" t="inlineStr">
        <is>
          <t>Use carefully because tone is political; validate with DOJ/AG primary docs.</t>
        </is>
      </c>
    </row>
    <row r="15">
      <c r="A15" t="inlineStr">
        <is>
          <t>PA-014</t>
        </is>
      </c>
      <c r="B15" t="inlineStr">
        <is>
          <t>Montgomery County Police Reporter</t>
        </is>
      </c>
      <c r="C15" s="50" t="n">
        <v>45712</v>
      </c>
      <c r="D15" t="inlineStr">
        <is>
          <t>ICE hits Colony Ridge hard</t>
        </is>
      </c>
      <c r="E15" t="inlineStr">
        <is>
          <t>Law Enforcement / Public Safety</t>
        </is>
      </c>
      <c r="F15" t="inlineStr">
        <is>
          <t>ICE; Colony Ridge; Governor Abbott; Liberty County</t>
        </is>
      </c>
      <c r="G15" t="inlineStr">
        <is>
          <t>Immigration enforcement operation and public narrative</t>
        </is>
      </c>
      <c r="H15" t="inlineStr">
        <is>
          <t>Public-safety narrative; state/federal coordination</t>
        </is>
      </c>
      <c r="I15" t="inlineStr">
        <is>
          <t>Public-source finding</t>
        </is>
      </c>
      <c r="J15" t="inlineStr">
        <is>
          <t>Low/Medium</t>
        </is>
      </c>
      <c r="K15" t="inlineStr">
        <is>
          <t>ICE/DHS release; DPS/LCSO records; local cost or mutual-aid documentation</t>
        </is>
      </c>
      <c r="L15" t="inlineStr">
        <is>
          <t>https://montgomerycountypolicereporter.com/ice-hits-colony-ridge-hard/</t>
        </is>
      </c>
      <c r="M15" t="inlineStr">
        <is>
          <t>Lead only; do not use as standalone proof.</t>
        </is>
      </c>
    </row>
    <row r="16">
      <c r="A16" t="inlineStr">
        <is>
          <t>PA-015</t>
        </is>
      </c>
      <c r="B16" t="inlineStr">
        <is>
          <t>DOJ Civil Rights Division</t>
        </is>
      </c>
      <c r="C16" s="50" t="n">
        <v>46054</v>
      </c>
      <c r="D16" t="inlineStr">
        <is>
          <t>Civil Rights Division secures $68M settlement in predatory land sales and lending lawsuit</t>
        </is>
      </c>
      <c r="E16" t="inlineStr">
        <is>
          <t>Primary Enforcement / Settlement</t>
        </is>
      </c>
      <c r="F16" t="inlineStr">
        <is>
          <t>DOJ; Colony Ridge; Texas; CFPB</t>
        </is>
      </c>
      <c r="G16" t="inlineStr">
        <is>
          <t>Official federal settlement announcement</t>
        </is>
      </c>
      <c r="H16" t="inlineStr">
        <is>
          <t>Primary enforcement anchor; settlement compliance tracker</t>
        </is>
      </c>
      <c r="I16" t="inlineStr">
        <is>
          <t>Primary-source finding</t>
        </is>
      </c>
      <c r="J16" t="inlineStr">
        <is>
          <t>Critical</t>
        </is>
      </c>
      <c r="K16" t="inlineStr">
        <is>
          <t>Consent order; docket; compliance reports; infrastructure/public safety spending documentation</t>
        </is>
      </c>
      <c r="L16" t="inlineStr">
        <is>
          <t>https://www.justice.gov/opa/pr/civil-rights-division-secures-68m-settlement-predatory-land-sales-and-lending-lawsuit</t>
        </is>
      </c>
      <c r="M16" t="inlineStr">
        <is>
          <t>Primary source controls over media summaries.</t>
        </is>
      </c>
    </row>
    <row r="17">
      <c r="A17" t="inlineStr">
        <is>
          <t>PA-016</t>
        </is>
      </c>
      <c r="B17" t="inlineStr">
        <is>
          <t>Liberty County Official Website</t>
        </is>
      </c>
      <c r="C17" s="50" t="n">
        <v>46181</v>
      </c>
      <c r="D17" t="inlineStr">
        <is>
          <t>Commissioners Court agendas and minutes repository</t>
        </is>
      </c>
      <c r="E17" t="inlineStr">
        <is>
          <t>Official Records / Agenda Tracking</t>
        </is>
      </c>
      <c r="F17" t="inlineStr">
        <is>
          <t>Liberty County Commissioners Court</t>
        </is>
      </c>
      <c r="G17" t="inlineStr">
        <is>
          <t>Official agenda/minutes source for county action review</t>
        </is>
      </c>
      <c r="H17" t="inlineStr">
        <is>
          <t>Primary record source; vote/action verification</t>
        </is>
      </c>
      <c r="I17" t="inlineStr">
        <is>
          <t>Primary-source repository</t>
        </is>
      </c>
      <c r="J17" t="inlineStr">
        <is>
          <t>Critical</t>
        </is>
      </c>
      <c r="K17" t="inlineStr">
        <is>
          <t>Download agendas/minutes; extract vendors, contracts, warrants, land purchases, change orders, Form 1295 references</t>
        </is>
      </c>
      <c r="L17" t="inlineStr">
        <is>
          <t>https://www.co.liberty.tx.us/page/liberty.CommissionersCourtAgendas</t>
        </is>
      </c>
      <c r="M17" t="inlineStr">
        <is>
          <t>Control source for political-agenda tracking.</t>
        </is>
      </c>
    </row>
    <row r="18">
      <c r="A18" t="inlineStr">
        <is>
          <t>PA-017</t>
        </is>
      </c>
      <c r="B18" t="inlineStr">
        <is>
          <t>Bluebonnet News</t>
        </is>
      </c>
      <c r="C18" s="50" t="n">
        <v>46184</v>
      </c>
      <c r="D18" t="inlineStr">
        <is>
          <t>Analysis of the Cold Iron Land Syndication and Liberty County Infrastructure Crossover</t>
        </is>
      </c>
      <c r="E18" t="inlineStr">
        <is>
          <t>Governance / Infrastructure</t>
        </is>
      </c>
      <c r="F18" t="inlineStr">
        <is>
          <t>Liberty County MMD No. 1; Liberty County MUD No. 1; Bluebonnet News; Marek Brothers Company LLC</t>
        </is>
      </c>
      <c r="G18" t="inlineStr">
        <is>
          <t>Coordination between public taxing entities MMD 1 and MUD 1 for joint infrastructure contracts</t>
        </is>
      </c>
      <c r="H18" t="inlineStr">
        <is>
          <t>Special District Crossovers; Developer Interlocks</t>
        </is>
      </c>
      <c r="I18" t="inlineStr">
        <is>
          <t>Public-source finding</t>
        </is>
      </c>
      <c r="J18" t="inlineStr">
        <is>
          <t>High</t>
        </is>
      </c>
      <c r="K18" t="inlineStr">
        <is>
          <t>MUD/MMD joint agreement records; street lamp installation contracts; Coats Rose board minutes</t>
        </is>
      </c>
      <c r="L18" t="inlineStr">
        <is>
          <t>cold_iron_report.html</t>
        </is>
      </c>
      <c r="M18" t="inlineStr">
        <is>
          <t>Provides the missing links for the northern and southern board crossovers and the Marek family network.</t>
        </is>
      </c>
    </row>
    <row r="19">
      <c r="A19" t="inlineStr">
        <is>
          <t>PA-018</t>
        </is>
      </c>
      <c r="B19" t="inlineStr">
        <is>
          <t>Bluebonnet News</t>
        </is>
      </c>
      <c r="C19" s="50" t="n">
        <v>46105</v>
      </c>
      <c r="D19" t="inlineStr">
        <is>
          <t>Former LCHA Commissioner Emily Kebodeaux Cook Indicted for Misapplication of Fiduciary Property</t>
        </is>
      </c>
      <c r="E19" t="inlineStr">
        <is>
          <t>Governance / Conflicts of Interest</t>
        </is>
      </c>
      <c r="F19" t="inlineStr">
        <is>
          <t>Emily Kebodeaux Cook; Liberty County Housing Authority; Central Appraisal District</t>
        </is>
      </c>
      <c r="G19" t="inlineStr">
        <is>
          <t>Central Appraisal District Board Member indicted on felony charges relating to housing authority assets.</t>
        </is>
      </c>
      <c r="H19" t="inlineStr">
        <is>
          <t>Governance Conflicts; Public Integrity</t>
        </is>
      </c>
      <c r="I19" t="inlineStr">
        <is>
          <t>Verified / Indictment</t>
        </is>
      </c>
      <c r="J19" t="inlineStr">
        <is>
          <t>High</t>
        </is>
      </c>
      <c r="K19" t="inlineStr">
        <is>
          <t>Court docket and bond conditions filings</t>
        </is>
      </c>
      <c r="L19" t="inlineStr">
        <is>
          <t>https://bluebonnetnews.com</t>
        </is>
      </c>
      <c r="M19" t="inlineStr">
        <is>
          <t>Cook is also running for District Attorney in 2028.</t>
        </is>
      </c>
    </row>
    <row r="20">
      <c r="A20" t="inlineStr">
        <is>
          <t>PA-019</t>
        </is>
      </c>
      <c r="B20" t="inlineStr">
        <is>
          <t>Houston Chronicle</t>
        </is>
      </c>
      <c r="C20" s="50" t="n">
        <v>46126</v>
      </c>
      <c r="D20" t="inlineStr">
        <is>
          <t>Former Elections Administrator Klint Bush Faced New Grand Jury Indictments for Abuse and Theft of Public Funds</t>
        </is>
      </c>
      <c r="E20" t="inlineStr">
        <is>
          <t>Enforcement / Developer Practices</t>
        </is>
      </c>
      <c r="F20" t="inlineStr">
        <is>
          <t>Klint Bush; Liberty County Housing Authority; Tommy Brents; Cypritech</t>
        </is>
      </c>
      <c r="G20" t="inlineStr">
        <is>
          <t>New grand jury indictments for theft of $150k+; filings link Cypritech retainer to mayoral candidate Tommy Brents.</t>
        </is>
      </c>
      <c r="H20" t="inlineStr">
        <is>
          <t>Public Housing Fraud; Election Administrator Scandals</t>
        </is>
      </c>
      <c r="I20" t="inlineStr">
        <is>
          <t>Verified / Indictments</t>
        </is>
      </c>
      <c r="J20" t="inlineStr">
        <is>
          <t>High</t>
        </is>
      </c>
      <c r="K20" t="inlineStr">
        <is>
          <t>Indictment records and case file in 253rd District Court</t>
        </is>
      </c>
      <c r="L20" t="inlineStr">
        <is>
          <t>https://houstonchronicle.com</t>
        </is>
      </c>
      <c r="M20" t="inlineStr">
        <is>
          <t>Court documents details 14 transactions from 2019-2021.</t>
        </is>
      </c>
    </row>
    <row r="21">
      <c r="A21" t="inlineStr">
        <is>
          <t>PA-020</t>
        </is>
      </c>
      <c r="B21" t="inlineStr">
        <is>
          <t>Bluebonnet News</t>
        </is>
      </c>
      <c r="C21" s="50" t="n">
        <v>46206</v>
      </c>
      <c r="D21" t="inlineStr">
        <is>
          <t>Former Liberty Police Officer Jason Grindstaff Surrenders Following Indictment</t>
        </is>
      </c>
      <c r="E21" t="inlineStr">
        <is>
          <t>Law Enforcement / Public Integrity</t>
        </is>
      </c>
      <c r="F21" t="inlineStr">
        <is>
          <t>Jason Grindstaff; Liberty Police Department; Texas Rangers</t>
        </is>
      </c>
      <c r="G21" t="inlineStr">
        <is>
          <t>Surrender and booking of former police officer indicted for official oppression and indecent assault.</t>
        </is>
      </c>
      <c r="H21" t="inlineStr">
        <is>
          <t>Law Enforcement Malfeasance; Official Oppression</t>
        </is>
      </c>
      <c r="I21" t="inlineStr">
        <is>
          <t>Verified / Arrest</t>
        </is>
      </c>
      <c r="J21" t="inlineStr">
        <is>
          <t>High</t>
        </is>
      </c>
      <c r="K21" t="inlineStr">
        <is>
          <t>Booking records and indictment details</t>
        </is>
      </c>
      <c r="L21" t="inlineStr">
        <is>
          <t>https://bluebonnetnews.com</t>
        </is>
      </c>
      <c r="M21" t="inlineStr">
        <is>
          <t>Texas Rangers conducted the initial investigation.</t>
        </is>
      </c>
    </row>
    <row r="22">
      <c r="A22" t="inlineStr">
        <is>
          <t>PA-021</t>
        </is>
      </c>
      <c r="B22" t="inlineStr">
        <is>
          <t>Bluebonnet News</t>
        </is>
      </c>
      <c r="C22" s="50" t="n">
        <v>46000</v>
      </c>
      <c r="D22" t="inlineStr">
        <is>
          <t>City of Liberty addresses officer's involvement in Nov. 20 auto-pedestrian accident</t>
        </is>
      </c>
      <c r="E22" t="inlineStr">
        <is>
          <t>Law Enforcement / Public Integrity</t>
        </is>
      </c>
      <c r="F22" t="inlineStr">
        <is>
          <t>Liberty Police Department; Texas Department of Public Safety (DPS)</t>
        </is>
      </c>
      <c r="G22" t="inlineStr">
        <is>
          <t>City statement and disciplinary review following an officer-involved auto-pedestrian crash.</t>
        </is>
      </c>
      <c r="H22" t="inlineStr">
        <is>
          <t>Officer-Involved Accident; Disciplinary Review</t>
        </is>
      </c>
      <c r="I22" t="inlineStr">
        <is>
          <t>Verified / Public Release</t>
        </is>
      </c>
      <c r="J22" t="inlineStr">
        <is>
          <t>High</t>
        </is>
      </c>
      <c r="K22" t="inlineStr">
        <is>
          <t>DPS crash report, internal investigation files</t>
        </is>
      </c>
      <c r="L22" t="inlineStr">
        <is>
          <t>https://bluebonnetnews.com</t>
        </is>
      </c>
      <c r="M22" t="inlineStr">
        <is>
          <t>Incident occurred on November 20, 2025. DPS conducted independent investigation; City took internal disciplinary action.</t>
        </is>
      </c>
    </row>
    <row r="23">
      <c r="A23" t="inlineStr">
        <is>
          <t>PA-022</t>
        </is>
      </c>
      <c r="B23" t="inlineStr">
        <is>
          <t>Bluebonnet News</t>
        </is>
      </c>
      <c r="C23" s="50" t="n">
        <v>45974</v>
      </c>
      <c r="D23" t="inlineStr">
        <is>
          <t>Termination of Liberty PD Lt. Lozano following Texas Rangers Jail Access Investigation</t>
        </is>
      </c>
      <c r="E23" t="inlineStr">
        <is>
          <t>Law Enforcement / Public Integrity</t>
        </is>
      </c>
      <c r="F23" t="inlineStr">
        <is>
          <t>Lt. Ramiro Lozano; Liberty Police Department; Texas Rangers</t>
        </is>
      </c>
      <c r="G23" t="inlineStr">
        <is>
          <t>Liberty PD Lieutenant Ramiro Lozano terminated for poor judgment regarding jail access to Domingo Quintana.</t>
        </is>
      </c>
      <c r="H23" t="inlineStr">
        <is>
          <t>Jail Access Incident; Disciplinary Review</t>
        </is>
      </c>
      <c r="I23" t="inlineStr">
        <is>
          <t>Verified / Termination</t>
        </is>
      </c>
      <c r="J23" t="inlineStr">
        <is>
          <t>High</t>
        </is>
      </c>
      <c r="K23" t="inlineStr">
        <is>
          <t>Internal investigation files and city statements</t>
        </is>
      </c>
      <c r="L23" t="inlineStr">
        <is>
          <t>https://bluebonnetnews.com</t>
        </is>
      </c>
      <c r="M23" t="inlineStr">
        <is>
          <t>Texas Rangers conducted the investigation; terminated November 2025.</t>
        </is>
      </c>
    </row>
    <row r="24">
      <c r="A24" t="inlineStr">
        <is>
          <t>PA-023</t>
        </is>
      </c>
      <c r="B24" t="inlineStr">
        <is>
          <t>City of Liberty</t>
        </is>
      </c>
      <c r="C24" s="50" t="n">
        <v>45658</v>
      </c>
      <c r="D24" t="inlineStr">
        <is>
          <t>Service History of Liberty PD Lt. Cedric McDuffie</t>
        </is>
      </c>
      <c r="E24" t="inlineStr">
        <is>
          <t>Law Enforcement / Personnel</t>
        </is>
      </c>
      <c r="F24" t="inlineStr">
        <is>
          <t>Cedric McDuffie; Liberty Police Department</t>
        </is>
      </c>
      <c r="G24" t="inlineStr">
        <is>
          <t>Documentation of Lieutenant Cedric McDuffie's tenure with the Liberty Police Department.</t>
        </is>
      </c>
      <c r="H24" t="inlineStr">
        <is>
          <t>Personnel History; Department Staffing</t>
        </is>
      </c>
      <c r="I24" t="inlineStr">
        <is>
          <t>Verified / Records</t>
        </is>
      </c>
      <c r="J24" t="inlineStr">
        <is>
          <t>Medium</t>
        </is>
      </c>
      <c r="K24" t="inlineStr">
        <is>
          <t>City rosters and county civil service filings</t>
        </is>
      </c>
      <c r="L24" t="inlineStr">
        <is>
          <t>https://cityofliberty.org</t>
        </is>
      </c>
      <c r="M24" t="inlineStr">
        <is>
          <t>Long-serving officer who later joined Shenandoah PD.</t>
        </is>
      </c>
    </row>
    <row r="25">
      <c r="C25" s="50" t="n"/>
    </row>
    <row r="26">
      <c r="C26" s="50" t="n"/>
    </row>
    <row r="27">
      <c r="C27" s="50" t="n"/>
    </row>
    <row r="28">
      <c r="C28" s="50" t="n"/>
    </row>
    <row r="29">
      <c r="C29" s="50" t="n"/>
    </row>
    <row r="30">
      <c r="C30" s="50" t="n"/>
    </row>
    <row r="31">
      <c r="C31" s="50" t="n"/>
    </row>
    <row r="32">
      <c r="C32" s="50" t="n"/>
    </row>
    <row r="33">
      <c r="C33" s="50" t="n"/>
    </row>
    <row r="34">
      <c r="C34" s="50" t="n"/>
    </row>
    <row r="35">
      <c r="C35" s="50" t="n"/>
    </row>
    <row r="36">
      <c r="C36" s="50" t="n"/>
    </row>
    <row r="37">
      <c r="C37" s="50" t="n"/>
    </row>
    <row r="38">
      <c r="C38" s="50" t="n"/>
    </row>
    <row r="39">
      <c r="C39" s="50" t="n"/>
    </row>
    <row r="40">
      <c r="C40" s="50" t="n"/>
    </row>
    <row r="41">
      <c r="C41" s="50" t="n"/>
    </row>
    <row r="42">
      <c r="C42" s="50" t="n"/>
    </row>
    <row r="43">
      <c r="C43" s="50" t="n"/>
    </row>
    <row r="44">
      <c r="C44" s="50" t="n"/>
    </row>
    <row r="45">
      <c r="C45" s="50" t="n"/>
    </row>
    <row r="46">
      <c r="C46" s="50" t="n"/>
    </row>
    <row r="47">
      <c r="C47" s="50" t="n"/>
    </row>
    <row r="48">
      <c r="C48" s="50" t="n"/>
    </row>
    <row r="49">
      <c r="C49" s="50" t="n"/>
    </row>
    <row r="50">
      <c r="C50" s="50" t="n"/>
    </row>
    <row r="51">
      <c r="C51" s="50" t="n"/>
    </row>
    <row r="52">
      <c r="C52" s="50" t="n"/>
    </row>
    <row r="53">
      <c r="C53" s="50" t="n"/>
    </row>
    <row r="54">
      <c r="C54" s="50" t="n"/>
    </row>
    <row r="55">
      <c r="C55" s="50" t="n"/>
    </row>
    <row r="56">
      <c r="C56" s="50" t="n"/>
    </row>
    <row r="57">
      <c r="C57" s="50" t="n"/>
    </row>
    <row r="58">
      <c r="C58" s="50" t="n"/>
    </row>
    <row r="59">
      <c r="C59" s="50" t="n"/>
    </row>
    <row r="60">
      <c r="C60" s="50" t="n"/>
    </row>
    <row r="61">
      <c r="C61" s="50" t="n"/>
    </row>
    <row r="62">
      <c r="C62" s="50" t="n"/>
    </row>
    <row r="63">
      <c r="C63" s="50" t="n"/>
    </row>
    <row r="64">
      <c r="C64" s="50" t="n"/>
    </row>
    <row r="65">
      <c r="C65" s="50" t="n"/>
    </row>
    <row r="66">
      <c r="C66" s="50" t="n"/>
    </row>
    <row r="67">
      <c r="C67" s="50" t="n"/>
    </row>
    <row r="68">
      <c r="C68" s="50" t="n"/>
    </row>
    <row r="69">
      <c r="C69" s="50" t="n"/>
    </row>
    <row r="70">
      <c r="C70" s="50" t="n"/>
    </row>
    <row r="71">
      <c r="C71" s="50" t="n"/>
    </row>
    <row r="72">
      <c r="C72" s="50" t="n"/>
    </row>
    <row r="73">
      <c r="C73" s="50" t="n"/>
    </row>
    <row r="74">
      <c r="C74" s="50" t="n"/>
    </row>
    <row r="75">
      <c r="C75" s="50" t="n"/>
    </row>
    <row r="76">
      <c r="C76" s="50" t="n"/>
    </row>
    <row r="77">
      <c r="C77" s="50" t="n"/>
    </row>
    <row r="78">
      <c r="C78" s="50" t="n"/>
    </row>
    <row r="79">
      <c r="C79" s="50" t="n"/>
    </row>
    <row r="80">
      <c r="C80" s="50" t="n"/>
    </row>
    <row r="81">
      <c r="C81" s="50" t="n"/>
    </row>
    <row r="82">
      <c r="C82" s="50" t="n"/>
    </row>
    <row r="83">
      <c r="C83" s="50" t="n"/>
    </row>
    <row r="84">
      <c r="C84" s="50" t="n"/>
    </row>
    <row r="85">
      <c r="C85" s="50" t="n"/>
    </row>
    <row r="86">
      <c r="C86" s="50" t="n"/>
    </row>
    <row r="87">
      <c r="C87" s="50" t="n"/>
    </row>
    <row r="88">
      <c r="C88" s="50" t="n"/>
    </row>
    <row r="89">
      <c r="C89" s="50" t="n"/>
    </row>
    <row r="90">
      <c r="C90" s="50" t="n"/>
    </row>
    <row r="91">
      <c r="C91" s="50" t="n"/>
    </row>
    <row r="92">
      <c r="C92" s="50" t="n"/>
    </row>
    <row r="93">
      <c r="C93" s="50" t="n"/>
    </row>
    <row r="94">
      <c r="C94" s="50" t="n"/>
    </row>
    <row r="95">
      <c r="C95" s="50" t="n"/>
    </row>
    <row r="96">
      <c r="C96" s="50" t="n"/>
    </row>
    <row r="97">
      <c r="C97" s="50" t="n"/>
    </row>
    <row r="98">
      <c r="C98" s="50" t="n"/>
    </row>
    <row r="99">
      <c r="C99" s="50" t="n"/>
    </row>
    <row r="100">
      <c r="C100" s="50" t="n"/>
    </row>
    <row r="101">
      <c r="C101" s="50" t="n"/>
    </row>
    <row r="102">
      <c r="C102" s="50" t="n"/>
    </row>
    <row r="103">
      <c r="C103" s="50" t="n"/>
    </row>
    <row r="104">
      <c r="C104" s="50" t="n"/>
    </row>
    <row r="105">
      <c r="C105" s="50" t="n"/>
    </row>
    <row r="106">
      <c r="C106" s="50" t="n"/>
    </row>
    <row r="107">
      <c r="C107" s="50" t="n"/>
    </row>
    <row r="108">
      <c r="C108" s="50" t="n"/>
    </row>
    <row r="109">
      <c r="C109" s="50" t="n"/>
    </row>
    <row r="110">
      <c r="C110" s="50" t="n"/>
    </row>
    <row r="111">
      <c r="C111" s="50" t="n"/>
    </row>
    <row r="112">
      <c r="C112" s="50" t="n"/>
    </row>
    <row r="113">
      <c r="C113" s="50" t="n"/>
    </row>
    <row r="114">
      <c r="C114" s="50" t="n"/>
    </row>
    <row r="115">
      <c r="C115" s="50" t="n"/>
    </row>
    <row r="116">
      <c r="C116" s="50" t="n"/>
    </row>
    <row r="117">
      <c r="C117" s="50" t="n"/>
    </row>
    <row r="118">
      <c r="C118" s="50" t="n"/>
    </row>
    <row r="119">
      <c r="C119" s="50" t="n"/>
    </row>
    <row r="120">
      <c r="C120" s="50" t="n"/>
    </row>
    <row r="121">
      <c r="C121" s="50" t="n"/>
    </row>
    <row r="122">
      <c r="C122" s="50" t="n"/>
    </row>
    <row r="123">
      <c r="C123" s="50" t="n"/>
    </row>
    <row r="124">
      <c r="C124" s="50" t="n"/>
    </row>
    <row r="125">
      <c r="C125" s="50" t="n"/>
    </row>
    <row r="126">
      <c r="C126" s="50" t="n"/>
    </row>
    <row r="127">
      <c r="C127" s="50" t="n"/>
    </row>
    <row r="128">
      <c r="C128" s="50" t="n"/>
    </row>
    <row r="129">
      <c r="C129" s="50" t="n"/>
    </row>
    <row r="130">
      <c r="C130" s="50" t="n"/>
    </row>
    <row r="131">
      <c r="C131" s="50" t="n"/>
    </row>
    <row r="132">
      <c r="C132" s="50" t="n"/>
    </row>
    <row r="133">
      <c r="C133" s="50" t="n"/>
    </row>
    <row r="134">
      <c r="C134" s="50" t="n"/>
    </row>
    <row r="135">
      <c r="C135" s="50" t="n"/>
    </row>
    <row r="136">
      <c r="C136" s="50" t="n"/>
    </row>
    <row r="137">
      <c r="C137" s="50" t="n"/>
    </row>
    <row r="138">
      <c r="C138" s="50" t="n"/>
    </row>
    <row r="139">
      <c r="C139" s="50" t="n"/>
    </row>
    <row r="140">
      <c r="C140" s="50" t="n"/>
    </row>
    <row r="141">
      <c r="C141" s="50" t="n"/>
    </row>
    <row r="142">
      <c r="C142" s="50" t="n"/>
    </row>
    <row r="143">
      <c r="C143" s="50" t="n"/>
    </row>
    <row r="144">
      <c r="C144" s="50" t="n"/>
    </row>
    <row r="145">
      <c r="C145" s="50" t="n"/>
    </row>
    <row r="146">
      <c r="C146" s="50" t="n"/>
    </row>
    <row r="147">
      <c r="C147" s="50" t="n"/>
    </row>
    <row r="148">
      <c r="C148" s="50" t="n"/>
    </row>
    <row r="149">
      <c r="C149" s="50" t="n"/>
    </row>
    <row r="150">
      <c r="C150" s="50" t="n"/>
    </row>
    <row r="151">
      <c r="C151" s="50" t="n"/>
    </row>
    <row r="152">
      <c r="C152" s="50" t="n"/>
    </row>
    <row r="153">
      <c r="C153" s="50" t="n"/>
    </row>
    <row r="154">
      <c r="C154" s="50" t="n"/>
    </row>
    <row r="155">
      <c r="C155" s="50" t="n"/>
    </row>
    <row r="156">
      <c r="C156" s="50" t="n"/>
    </row>
    <row r="157">
      <c r="C157" s="50" t="n"/>
    </row>
    <row r="158">
      <c r="C158" s="50" t="n"/>
    </row>
    <row r="159">
      <c r="C159" s="50" t="n"/>
    </row>
    <row r="160">
      <c r="C160" s="50" t="n"/>
    </row>
    <row r="161">
      <c r="C161" s="50" t="n"/>
    </row>
    <row r="162">
      <c r="C162" s="50" t="n"/>
    </row>
    <row r="163">
      <c r="C163" s="50" t="n"/>
    </row>
    <row r="164">
      <c r="C164" s="50" t="n"/>
    </row>
    <row r="165">
      <c r="C165" s="50" t="n"/>
    </row>
    <row r="166">
      <c r="C166" s="50" t="n"/>
    </row>
    <row r="167">
      <c r="C167" s="50" t="n"/>
    </row>
    <row r="168">
      <c r="C168" s="50" t="n"/>
    </row>
    <row r="169">
      <c r="C169" s="50" t="n"/>
    </row>
    <row r="170">
      <c r="C170" s="50" t="n"/>
    </row>
    <row r="171">
      <c r="C171" s="50" t="n"/>
    </row>
    <row r="172">
      <c r="C172" s="50" t="n"/>
    </row>
    <row r="173">
      <c r="C173" s="50" t="n"/>
    </row>
    <row r="174">
      <c r="C174" s="50" t="n"/>
    </row>
    <row r="175">
      <c r="C175" s="50" t="n"/>
    </row>
    <row r="176">
      <c r="C176" s="50" t="n"/>
    </row>
    <row r="177">
      <c r="C177" s="50" t="n"/>
    </row>
    <row r="178">
      <c r="C178" s="50" t="n"/>
    </row>
    <row r="179">
      <c r="C179" s="50" t="n"/>
    </row>
    <row r="180">
      <c r="C180" s="50" t="n"/>
    </row>
    <row r="181">
      <c r="C181" s="50" t="n"/>
    </row>
    <row r="182">
      <c r="C182" s="50" t="n"/>
    </row>
    <row r="183">
      <c r="C183" s="50" t="n"/>
    </row>
    <row r="184">
      <c r="C184" s="50" t="n"/>
    </row>
    <row r="185">
      <c r="C185" s="50" t="n"/>
    </row>
    <row r="186">
      <c r="C186" s="50" t="n"/>
    </row>
    <row r="187">
      <c r="C187" s="50" t="n"/>
    </row>
    <row r="188">
      <c r="C188" s="50" t="n"/>
    </row>
    <row r="189">
      <c r="C189" s="50" t="n"/>
    </row>
    <row r="190">
      <c r="C190" s="50" t="n"/>
    </row>
    <row r="191">
      <c r="C191" s="50" t="n"/>
    </row>
    <row r="192">
      <c r="C192" s="50" t="n"/>
    </row>
    <row r="193">
      <c r="C193" s="50" t="n"/>
    </row>
    <row r="194">
      <c r="C194" s="50" t="n"/>
    </row>
    <row r="195">
      <c r="C195" s="50" t="n"/>
    </row>
    <row r="196">
      <c r="C196" s="50" t="n"/>
    </row>
    <row r="197">
      <c r="C197" s="50" t="n"/>
    </row>
    <row r="198">
      <c r="C198" s="50" t="n"/>
    </row>
    <row r="199">
      <c r="C199" s="50" t="n"/>
    </row>
    <row r="200">
      <c r="C200" s="50" t="n"/>
    </row>
    <row r="201">
      <c r="C201" s="50" t="n"/>
    </row>
    <row r="202">
      <c r="C202" s="50" t="n"/>
    </row>
    <row r="203">
      <c r="C203" s="50" t="n"/>
    </row>
    <row r="204">
      <c r="C204" s="50" t="n"/>
    </row>
    <row r="205">
      <c r="C205" s="50" t="n"/>
    </row>
    <row r="206">
      <c r="C206" s="50" t="n"/>
    </row>
    <row r="207">
      <c r="C207" s="50" t="n"/>
    </row>
    <row r="208">
      <c r="C208" s="50" t="n"/>
    </row>
    <row r="209">
      <c r="C209" s="50" t="n"/>
    </row>
    <row r="210">
      <c r="C210" s="50" t="n"/>
    </row>
    <row r="211">
      <c r="C211" s="50" t="n"/>
    </row>
    <row r="212">
      <c r="C212" s="50" t="n"/>
    </row>
    <row r="213">
      <c r="C213" s="50" t="n"/>
    </row>
    <row r="214">
      <c r="C214" s="50" t="n"/>
    </row>
    <row r="215">
      <c r="C215" s="50" t="n"/>
    </row>
    <row r="216">
      <c r="C216" s="50" t="n"/>
    </row>
    <row r="217">
      <c r="C217" s="50" t="n"/>
    </row>
    <row r="218">
      <c r="C218" s="50" t="n"/>
    </row>
    <row r="219">
      <c r="C219" s="50" t="n"/>
    </row>
    <row r="220">
      <c r="C220" s="50" t="n"/>
    </row>
    <row r="221">
      <c r="C221" s="50" t="n"/>
    </row>
    <row r="222">
      <c r="C222" s="50" t="n"/>
    </row>
    <row r="223">
      <c r="C223" s="50" t="n"/>
    </row>
    <row r="224">
      <c r="C224" s="50" t="n"/>
    </row>
    <row r="225">
      <c r="C225" s="50" t="n"/>
    </row>
    <row r="226">
      <c r="C226" s="50" t="n"/>
    </row>
    <row r="227">
      <c r="C227" s="50" t="n"/>
    </row>
    <row r="228">
      <c r="C228" s="50" t="n"/>
    </row>
    <row r="229">
      <c r="C229" s="50" t="n"/>
    </row>
    <row r="230">
      <c r="C230" s="50" t="n"/>
    </row>
    <row r="231">
      <c r="C231" s="50" t="n"/>
    </row>
    <row r="232">
      <c r="C232" s="50" t="n"/>
    </row>
    <row r="233">
      <c r="C233" s="50" t="n"/>
    </row>
    <row r="234">
      <c r="C234" s="50" t="n"/>
    </row>
    <row r="235">
      <c r="C235" s="50" t="n"/>
    </row>
    <row r="236">
      <c r="C236" s="50" t="n"/>
    </row>
    <row r="237">
      <c r="C237" s="50" t="n"/>
    </row>
    <row r="238">
      <c r="C238" s="50" t="n"/>
    </row>
    <row r="239">
      <c r="C239" s="50" t="n"/>
    </row>
    <row r="240">
      <c r="C240" s="50" t="n"/>
    </row>
    <row r="241">
      <c r="C241" s="50" t="n"/>
    </row>
    <row r="242">
      <c r="C242" s="50" t="n"/>
    </row>
    <row r="243">
      <c r="C243" s="50" t="n"/>
    </row>
    <row r="244">
      <c r="C244" s="50" t="n"/>
    </row>
    <row r="245">
      <c r="C245" s="50" t="n"/>
    </row>
    <row r="246">
      <c r="C246" s="50" t="n"/>
    </row>
    <row r="247">
      <c r="C247" s="50" t="n"/>
    </row>
    <row r="248">
      <c r="C248" s="50" t="n"/>
    </row>
    <row r="249">
      <c r="C249" s="50" t="n"/>
    </row>
    <row r="250">
      <c r="C250" s="50" t="n"/>
    </row>
    <row r="251">
      <c r="C251" s="50" t="n"/>
    </row>
    <row r="252">
      <c r="C252" s="50" t="n"/>
    </row>
    <row r="253">
      <c r="C253" s="50" t="n"/>
    </row>
    <row r="254">
      <c r="C254" s="50" t="n"/>
    </row>
    <row r="255">
      <c r="C255" s="50" t="n"/>
    </row>
    <row r="256">
      <c r="C256" s="50" t="n"/>
    </row>
    <row r="257">
      <c r="C257" s="50" t="n"/>
    </row>
    <row r="258">
      <c r="C258" s="50" t="n"/>
    </row>
    <row r="259">
      <c r="C259" s="50" t="n"/>
    </row>
    <row r="260">
      <c r="C260" s="50" t="n"/>
    </row>
    <row r="261">
      <c r="C261" s="50" t="n"/>
    </row>
    <row r="262">
      <c r="C262" s="50" t="n"/>
    </row>
    <row r="263">
      <c r="C263" s="50" t="n"/>
    </row>
    <row r="264">
      <c r="C264" s="50" t="n"/>
    </row>
    <row r="265">
      <c r="C265" s="50" t="n"/>
    </row>
    <row r="266">
      <c r="C266" s="50" t="n"/>
    </row>
    <row r="267">
      <c r="C267" s="50" t="n"/>
    </row>
    <row r="268">
      <c r="C268" s="50" t="n"/>
    </row>
    <row r="269">
      <c r="C269" s="50" t="n"/>
    </row>
    <row r="270">
      <c r="C270" s="50" t="n"/>
    </row>
    <row r="271">
      <c r="C271" s="50" t="n"/>
    </row>
    <row r="272">
      <c r="C272" s="50" t="n"/>
    </row>
    <row r="273">
      <c r="C273" s="50" t="n"/>
    </row>
    <row r="274">
      <c r="C274" s="50" t="n"/>
    </row>
    <row r="275">
      <c r="C275" s="50" t="n"/>
    </row>
    <row r="276">
      <c r="C276" s="50" t="n"/>
    </row>
    <row r="277">
      <c r="C277" s="50" t="n"/>
    </row>
    <row r="278">
      <c r="C278" s="50" t="n"/>
    </row>
    <row r="279">
      <c r="C279" s="50" t="n"/>
    </row>
    <row r="280">
      <c r="C280" s="50" t="n"/>
    </row>
    <row r="281">
      <c r="C281" s="50" t="n"/>
    </row>
    <row r="282">
      <c r="C282" s="50" t="n"/>
    </row>
    <row r="283">
      <c r="C283" s="50" t="n"/>
    </row>
    <row r="284">
      <c r="C284" s="50" t="n"/>
    </row>
    <row r="285">
      <c r="C285" s="50" t="n"/>
    </row>
    <row r="286">
      <c r="C286" s="50" t="n"/>
    </row>
    <row r="287">
      <c r="C287" s="50" t="n"/>
    </row>
    <row r="288">
      <c r="C288" s="50" t="n"/>
    </row>
    <row r="289">
      <c r="C289" s="50" t="n"/>
    </row>
    <row r="290">
      <c r="C290" s="50" t="n"/>
    </row>
    <row r="291">
      <c r="C291" s="50" t="n"/>
    </row>
    <row r="292">
      <c r="C292" s="50" t="n"/>
    </row>
    <row r="293">
      <c r="C293" s="50" t="n"/>
    </row>
    <row r="294">
      <c r="C294" s="50" t="n"/>
    </row>
    <row r="295">
      <c r="C295" s="50" t="n"/>
    </row>
    <row r="296">
      <c r="C296" s="50" t="n"/>
    </row>
    <row r="297">
      <c r="C297" s="50" t="n"/>
    </row>
    <row r="298">
      <c r="C298" s="50" t="n"/>
    </row>
    <row r="299">
      <c r="C299" s="50" t="n"/>
    </row>
    <row r="300">
      <c r="C300" s="50" t="n"/>
    </row>
    <row r="301">
      <c r="C301" s="50" t="n"/>
    </row>
    <row r="302">
      <c r="C302" s="50" t="n"/>
    </row>
    <row r="303">
      <c r="C303" s="50" t="n"/>
    </row>
    <row r="304">
      <c r="C304" s="50" t="n"/>
    </row>
    <row r="305">
      <c r="C305" s="50" t="n"/>
    </row>
    <row r="306">
      <c r="C306" s="50" t="n"/>
    </row>
    <row r="307">
      <c r="C307" s="50" t="n"/>
    </row>
    <row r="308">
      <c r="C308" s="50" t="n"/>
    </row>
    <row r="309">
      <c r="C309" s="50" t="n"/>
    </row>
    <row r="310">
      <c r="C310" s="50" t="n"/>
    </row>
    <row r="311">
      <c r="C311" s="50" t="n"/>
    </row>
    <row r="312">
      <c r="C312" s="50" t="n"/>
    </row>
    <row r="313">
      <c r="C313" s="50" t="n"/>
    </row>
    <row r="314">
      <c r="C314" s="50" t="n"/>
    </row>
    <row r="315">
      <c r="C315" s="50" t="n"/>
    </row>
    <row r="316">
      <c r="C316" s="50" t="n"/>
    </row>
    <row r="317">
      <c r="C317" s="50" t="n"/>
    </row>
    <row r="318">
      <c r="C318" s="50" t="n"/>
    </row>
    <row r="319">
      <c r="C319" s="50" t="n"/>
    </row>
    <row r="320">
      <c r="C320" s="50" t="n"/>
    </row>
    <row r="321">
      <c r="C321" s="50" t="n"/>
    </row>
    <row r="322">
      <c r="C322" s="50" t="n"/>
    </row>
    <row r="323">
      <c r="C323" s="50" t="n"/>
    </row>
    <row r="324">
      <c r="C324" s="50" t="n"/>
    </row>
    <row r="325">
      <c r="C325" s="50" t="n"/>
    </row>
    <row r="326">
      <c r="C326" s="50" t="n"/>
    </row>
    <row r="327">
      <c r="C327" s="50" t="n"/>
    </row>
    <row r="328">
      <c r="C328" s="50" t="n"/>
    </row>
    <row r="329">
      <c r="C329" s="50" t="n"/>
    </row>
    <row r="330">
      <c r="C330" s="50" t="n"/>
    </row>
    <row r="331">
      <c r="C331" s="50" t="n"/>
    </row>
    <row r="332">
      <c r="C332" s="50" t="n"/>
    </row>
    <row r="333">
      <c r="C333" s="50" t="n"/>
    </row>
    <row r="334">
      <c r="C334" s="50" t="n"/>
    </row>
    <row r="335">
      <c r="C335" s="50" t="n"/>
    </row>
    <row r="336">
      <c r="C336" s="50" t="n"/>
    </row>
    <row r="337">
      <c r="C337" s="50" t="n"/>
    </row>
    <row r="338">
      <c r="C338" s="50" t="n"/>
    </row>
    <row r="339">
      <c r="C339" s="50" t="n"/>
    </row>
    <row r="340">
      <c r="C340" s="50" t="n"/>
    </row>
    <row r="341">
      <c r="C341" s="50" t="n"/>
    </row>
    <row r="342">
      <c r="C342" s="50" t="n"/>
    </row>
    <row r="343">
      <c r="C343" s="50" t="n"/>
    </row>
    <row r="344">
      <c r="C344" s="50" t="n"/>
    </row>
    <row r="345">
      <c r="C345" s="50" t="n"/>
    </row>
    <row r="346">
      <c r="C346" s="50" t="n"/>
    </row>
    <row r="347">
      <c r="C347" s="50" t="n"/>
    </row>
    <row r="348">
      <c r="C348" s="50" t="n"/>
    </row>
    <row r="349">
      <c r="C349" s="50" t="n"/>
    </row>
    <row r="350">
      <c r="C350" s="50" t="n"/>
    </row>
    <row r="351">
      <c r="C351" s="50" t="n"/>
    </row>
    <row r="352">
      <c r="C352" s="50" t="n"/>
    </row>
    <row r="353">
      <c r="C353" s="50" t="n"/>
    </row>
    <row r="354">
      <c r="C354" s="50" t="n"/>
    </row>
    <row r="355">
      <c r="C355" s="50" t="n"/>
    </row>
    <row r="356">
      <c r="C356" s="50" t="n"/>
    </row>
    <row r="357">
      <c r="C357" s="50" t="n"/>
    </row>
    <row r="358">
      <c r="C358" s="50" t="n"/>
    </row>
    <row r="359">
      <c r="C359" s="50" t="n"/>
    </row>
    <row r="360">
      <c r="C360" s="50" t="n"/>
    </row>
    <row r="361">
      <c r="C361" s="50" t="n"/>
    </row>
    <row r="362">
      <c r="C362" s="50" t="n"/>
    </row>
    <row r="363">
      <c r="C363" s="50" t="n"/>
    </row>
    <row r="364">
      <c r="C364" s="50" t="n"/>
    </row>
    <row r="365">
      <c r="C365" s="50" t="n"/>
    </row>
    <row r="366">
      <c r="C366" s="50" t="n"/>
    </row>
    <row r="367">
      <c r="C367" s="50" t="n"/>
    </row>
    <row r="368">
      <c r="C368" s="50" t="n"/>
    </row>
    <row r="369">
      <c r="C369" s="50" t="n"/>
    </row>
    <row r="370">
      <c r="C370" s="50" t="n"/>
    </row>
    <row r="371">
      <c r="C371" s="50" t="n"/>
    </row>
    <row r="372">
      <c r="C372" s="50" t="n"/>
    </row>
    <row r="373">
      <c r="C373" s="50" t="n"/>
    </row>
    <row r="374">
      <c r="C374" s="50" t="n"/>
    </row>
    <row r="375">
      <c r="C375" s="50" t="n"/>
    </row>
    <row r="376">
      <c r="C376" s="50" t="n"/>
    </row>
    <row r="377">
      <c r="C377" s="50" t="n"/>
    </row>
    <row r="378">
      <c r="C378" s="50" t="n"/>
    </row>
    <row r="379">
      <c r="C379" s="50" t="n"/>
    </row>
    <row r="380">
      <c r="C380" s="50" t="n"/>
    </row>
    <row r="381">
      <c r="C381" s="50" t="n"/>
    </row>
    <row r="382">
      <c r="C382" s="50" t="n"/>
    </row>
    <row r="383">
      <c r="C383" s="50" t="n"/>
    </row>
    <row r="384">
      <c r="C384" s="50" t="n"/>
    </row>
    <row r="385">
      <c r="C385" s="50" t="n"/>
    </row>
    <row r="386">
      <c r="C386" s="50" t="n"/>
    </row>
    <row r="387">
      <c r="C387" s="50" t="n"/>
    </row>
    <row r="388">
      <c r="C388" s="50" t="n"/>
    </row>
    <row r="389">
      <c r="C389" s="50" t="n"/>
    </row>
    <row r="390">
      <c r="C390" s="50" t="n"/>
    </row>
    <row r="391">
      <c r="C391" s="50" t="n"/>
    </row>
    <row r="392">
      <c r="C392" s="50" t="n"/>
    </row>
    <row r="393">
      <c r="C393" s="50" t="n"/>
    </row>
    <row r="394">
      <c r="C394" s="50" t="n"/>
    </row>
    <row r="395">
      <c r="C395" s="50" t="n"/>
    </row>
    <row r="396">
      <c r="C396" s="50" t="n"/>
    </row>
    <row r="397">
      <c r="C397" s="50" t="n"/>
    </row>
    <row r="398">
      <c r="C398" s="50" t="n"/>
    </row>
    <row r="399">
      <c r="C399" s="50" t="n"/>
    </row>
    <row r="400">
      <c r="C400" s="50" t="n"/>
    </row>
    <row r="401">
      <c r="C401" s="50" t="n"/>
    </row>
    <row r="402">
      <c r="C402" s="50" t="n"/>
    </row>
    <row r="403">
      <c r="C403" s="50" t="n"/>
    </row>
    <row r="404">
      <c r="C404" s="50" t="n"/>
    </row>
    <row r="405">
      <c r="C405" s="50" t="n"/>
    </row>
    <row r="406">
      <c r="C406" s="50" t="n"/>
    </row>
    <row r="407">
      <c r="C407" s="50" t="n"/>
    </row>
    <row r="408">
      <c r="C408" s="50" t="n"/>
    </row>
    <row r="409">
      <c r="C409" s="50" t="n"/>
    </row>
    <row r="410">
      <c r="C410" s="50" t="n"/>
    </row>
    <row r="411">
      <c r="C411" s="50" t="n"/>
    </row>
    <row r="412">
      <c r="C412" s="50" t="n"/>
    </row>
    <row r="413">
      <c r="C413" s="50" t="n"/>
    </row>
    <row r="414">
      <c r="C414" s="50" t="n"/>
    </row>
    <row r="415">
      <c r="C415" s="50" t="n"/>
    </row>
    <row r="416">
      <c r="C416" s="50" t="n"/>
    </row>
    <row r="417">
      <c r="C417" s="50" t="n"/>
    </row>
    <row r="418">
      <c r="C418" s="50" t="n"/>
    </row>
    <row r="419">
      <c r="C419" s="50" t="n"/>
    </row>
    <row r="420">
      <c r="C420" s="50" t="n"/>
    </row>
    <row r="421">
      <c r="C421" s="50" t="n"/>
    </row>
    <row r="422">
      <c r="C422" s="50" t="n"/>
    </row>
    <row r="423">
      <c r="C423" s="50" t="n"/>
    </row>
    <row r="424">
      <c r="C424" s="50" t="n"/>
    </row>
    <row r="425">
      <c r="C425" s="50" t="n"/>
    </row>
    <row r="426">
      <c r="C426" s="50" t="n"/>
    </row>
    <row r="427">
      <c r="C427" s="50" t="n"/>
    </row>
    <row r="428">
      <c r="C428" s="50" t="n"/>
    </row>
    <row r="429">
      <c r="C429" s="50" t="n"/>
    </row>
    <row r="430">
      <c r="C430" s="50" t="n"/>
    </row>
    <row r="431">
      <c r="C431" s="50" t="n"/>
    </row>
    <row r="432">
      <c r="C432" s="50" t="n"/>
    </row>
    <row r="433">
      <c r="C433" s="50" t="n"/>
    </row>
    <row r="434">
      <c r="C434" s="50" t="n"/>
    </row>
    <row r="435">
      <c r="C435" s="50" t="n"/>
    </row>
    <row r="436">
      <c r="C436" s="50" t="n"/>
    </row>
    <row r="437">
      <c r="C437" s="50" t="n"/>
    </row>
    <row r="438">
      <c r="C438" s="50" t="n"/>
    </row>
    <row r="439">
      <c r="C439" s="50" t="n"/>
    </row>
    <row r="440">
      <c r="C440" s="50" t="n"/>
    </row>
    <row r="441">
      <c r="C441" s="50" t="n"/>
    </row>
    <row r="442">
      <c r="C442" s="50" t="n"/>
    </row>
    <row r="443">
      <c r="C443" s="50" t="n"/>
    </row>
    <row r="444">
      <c r="C444" s="50" t="n"/>
    </row>
    <row r="445">
      <c r="C445" s="50" t="n"/>
    </row>
    <row r="446">
      <c r="C446" s="50" t="n"/>
    </row>
    <row r="447">
      <c r="C447" s="50" t="n"/>
    </row>
    <row r="448">
      <c r="C448" s="50" t="n"/>
    </row>
    <row r="449">
      <c r="C449" s="50" t="n"/>
    </row>
    <row r="450">
      <c r="C450" s="50" t="n"/>
    </row>
    <row r="451">
      <c r="C451" s="50" t="n"/>
    </row>
    <row r="452">
      <c r="C452" s="50" t="n"/>
    </row>
    <row r="453">
      <c r="C453" s="50" t="n"/>
    </row>
    <row r="454">
      <c r="C454" s="50" t="n"/>
    </row>
    <row r="455">
      <c r="C455" s="50" t="n"/>
    </row>
    <row r="456">
      <c r="C456" s="50" t="n"/>
    </row>
    <row r="457">
      <c r="C457" s="50" t="n"/>
    </row>
    <row r="458">
      <c r="C458" s="50" t="n"/>
    </row>
    <row r="459">
      <c r="C459" s="50" t="n"/>
    </row>
    <row r="460">
      <c r="C460" s="50" t="n"/>
    </row>
    <row r="461">
      <c r="C461" s="50" t="n"/>
    </row>
    <row r="462">
      <c r="C462" s="50" t="n"/>
    </row>
    <row r="463">
      <c r="C463" s="50" t="n"/>
    </row>
    <row r="464">
      <c r="C464" s="50" t="n"/>
    </row>
    <row r="465">
      <c r="C465" s="50" t="n"/>
    </row>
    <row r="466">
      <c r="C466" s="50" t="n"/>
    </row>
    <row r="467">
      <c r="C467" s="50" t="n"/>
    </row>
    <row r="468">
      <c r="C468" s="50" t="n"/>
    </row>
    <row r="469">
      <c r="C469" s="50" t="n"/>
    </row>
    <row r="470">
      <c r="C470" s="50" t="n"/>
    </row>
    <row r="471">
      <c r="C471" s="50" t="n"/>
    </row>
    <row r="472">
      <c r="C472" s="50" t="n"/>
    </row>
    <row r="473">
      <c r="C473" s="50" t="n"/>
    </row>
    <row r="474">
      <c r="C474" s="50" t="n"/>
    </row>
    <row r="475">
      <c r="C475" s="50" t="n"/>
    </row>
    <row r="476">
      <c r="C476" s="50" t="n"/>
    </row>
    <row r="477">
      <c r="C477" s="50" t="n"/>
    </row>
    <row r="478">
      <c r="C478" s="50" t="n"/>
    </row>
    <row r="479">
      <c r="C479" s="50" t="n"/>
    </row>
    <row r="480">
      <c r="C480" s="50" t="n"/>
    </row>
    <row r="481">
      <c r="C481" s="50" t="n"/>
    </row>
    <row r="482">
      <c r="C482" s="50" t="n"/>
    </row>
    <row r="483">
      <c r="C483" s="50" t="n"/>
    </row>
    <row r="484">
      <c r="C484" s="50" t="n"/>
    </row>
    <row r="485">
      <c r="C485" s="50" t="n"/>
    </row>
    <row r="486">
      <c r="C486" s="50" t="n"/>
    </row>
    <row r="487">
      <c r="C487" s="50" t="n"/>
    </row>
    <row r="488">
      <c r="C488" s="50" t="n"/>
    </row>
    <row r="489">
      <c r="C489" s="50" t="n"/>
    </row>
    <row r="490">
      <c r="C490" s="50" t="n"/>
    </row>
    <row r="491">
      <c r="C491" s="50" t="n"/>
    </row>
    <row r="492">
      <c r="C492" s="50" t="n"/>
    </row>
    <row r="493">
      <c r="C493" s="50" t="n"/>
    </row>
    <row r="494">
      <c r="C494" s="50" t="n"/>
    </row>
    <row r="495">
      <c r="C495" s="50" t="n"/>
    </row>
    <row r="496">
      <c r="C496" s="50" t="n"/>
    </row>
    <row r="497">
      <c r="C497" s="50" t="n"/>
    </row>
    <row r="498">
      <c r="C498" s="50" t="n"/>
    </row>
    <row r="499">
      <c r="C499" s="50" t="n"/>
    </row>
    <row r="500">
      <c r="C500" s="50"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30" customWidth="1" min="2" max="2"/>
    <col width="56" customWidth="1" min="3" max="3"/>
    <col width="42" customWidth="1" min="4" max="4"/>
    <col width="26" customWidth="1" min="5" max="5"/>
    <col width="52" customWidth="1" min="6" max="6"/>
  </cols>
  <sheetData>
    <row r="1">
      <c r="A1" s="38" t="inlineStr">
        <is>
          <t>Visual ID</t>
        </is>
      </c>
      <c r="B1" s="38" t="inlineStr">
        <is>
          <t>Pattern Layer</t>
        </is>
      </c>
      <c r="C1" s="38" t="inlineStr">
        <is>
          <t>Documented Basis</t>
        </is>
      </c>
      <c r="D1" s="38" t="inlineStr">
        <is>
          <t>Public Anchor</t>
        </is>
      </c>
      <c r="E1" s="38" t="inlineStr">
        <is>
          <t>Evidence Status</t>
        </is>
      </c>
      <c r="F1" s="38" t="inlineStr">
        <is>
          <t>Next Record Needed</t>
        </is>
      </c>
    </row>
    <row r="2">
      <c r="A2" t="inlineStr">
        <is>
          <t>V1</t>
        </is>
      </c>
      <c r="B2" t="inlineStr">
        <is>
          <t>Developer / Special District Finance</t>
        </is>
      </c>
      <c r="C2" t="inlineStr">
        <is>
          <t>Uploaded report alleges Colony Ridge expansion with limited fiscal oversight, developer-linked MUD boards, delayed audits, and public debt/private profit concern.</t>
        </is>
      </c>
      <c r="D2" t="inlineStr">
        <is>
          <t>MUD audits/meeting records and DOJ/State settlement are public anchors.</t>
        </is>
      </c>
      <c r="E2" t="inlineStr">
        <is>
          <t>Finding / needs record-by-record validation</t>
        </is>
      </c>
      <c r="F2" t="inlineStr">
        <is>
          <t>MUD audit table extraction, board rosters, bond official statements, recorded plats/deeds, reimbursement agreements</t>
        </is>
      </c>
    </row>
    <row r="3">
      <c r="A3" t="inlineStr">
        <is>
          <t>V2</t>
        </is>
      </c>
      <c r="B3" t="inlineStr">
        <is>
          <t>County Procurement / Vendor Cycle</t>
        </is>
      </c>
      <c r="C3" t="inlineStr">
        <is>
          <t>Uploaded report alleges recurring engineering, paving, and drainage vendors across consecutive Commissioner agendas with limited bid documentation.</t>
        </is>
      </c>
      <c r="D3" t="inlineStr">
        <is>
          <t>Liberty County agenda/minutes repository confirms control source for meeting action review.</t>
        </is>
      </c>
      <c r="E3" t="inlineStr">
        <is>
          <t>Hypothesis / agenda scrape required</t>
        </is>
      </c>
      <c r="F3" t="inlineStr">
        <is>
          <t>Agendas, minutes, warrants payable PDFs, contracts, bid tabs, Form 1295s, change orders</t>
        </is>
      </c>
    </row>
    <row r="4">
      <c r="A4" t="inlineStr">
        <is>
          <t>V3</t>
        </is>
      </c>
      <c r="B4" t="inlineStr">
        <is>
          <t>ISD Financial Transparency</t>
        </is>
      </c>
      <c r="C4" t="inlineStr">
        <is>
          <t>Uploaded report alleges Tarkington ISD Jet Grant purchases over $50,000 with no vendor details and missing detailed check registers.</t>
        </is>
      </c>
      <c r="D4" t="inlineStr">
        <is>
          <t>Tarkington ISD business/grants/AP records are the custodian target.</t>
        </is>
      </c>
      <c r="E4" t="inlineStr">
        <is>
          <t>Finding / vendor ledger required</t>
        </is>
      </c>
      <c r="F4" t="inlineStr">
        <is>
          <t>BoardBook packet, grant purchase orders, check registers, vendor invoices, procurement method</t>
        </is>
      </c>
    </row>
    <row r="5">
      <c r="A5" t="inlineStr">
        <is>
          <t>V4</t>
        </is>
      </c>
      <c r="B5" t="inlineStr">
        <is>
          <t>Political / Legislative Influence</t>
        </is>
      </c>
      <c r="C5" t="inlineStr">
        <is>
          <t>Uploaded report alleges state-level bill activity tied to developer interests and expanded district authority.</t>
        </is>
      </c>
      <c r="D5" t="inlineStr">
        <is>
          <t>Legislative/ethics records must be pulled bill-by-bill and donor-by-donor.</t>
        </is>
      </c>
      <c r="E5" t="inlineStr">
        <is>
          <t>Hypothesis / public records correlation required</t>
        </is>
      </c>
      <c r="F5" t="inlineStr">
        <is>
          <t>Bill history, votes, testimony, TEC contributions, PAC donations, Form 1295</t>
        </is>
      </c>
    </row>
    <row r="6">
      <c r="A6" t="inlineStr">
        <is>
          <t>V5</t>
        </is>
      </c>
      <c r="B6" t="inlineStr">
        <is>
          <t>Transparency / Compliance Gaps</t>
        </is>
      </c>
      <c r="C6" t="inlineStr">
        <is>
          <t>Uploaded report lists missing Form 1295 disclosures, check registers, updated SRO agreement, and late MUD audits.</t>
        </is>
      </c>
      <c r="D6" t="inlineStr">
        <is>
          <t>Framework requires unavailable sources to be marked manual review and correlations verified.</t>
        </is>
      </c>
      <c r="E6" t="inlineStr">
        <is>
          <t>Mixed / gap map ready</t>
        </is>
      </c>
      <c r="F6" t="inlineStr">
        <is>
          <t>TPIA log, missing-record inventory, certification checks, audit filing dates</t>
        </is>
      </c>
    </row>
    <row r="7">
      <c r="A7" t="inlineStr">
        <is>
          <t>V6</t>
        </is>
      </c>
      <c r="B7" t="inlineStr">
        <is>
          <t>Political / Legislative Influence</t>
        </is>
      </c>
      <c r="C7" t="inlineStr">
        <is>
          <t>This image displays the first page of an official Attorney General Opinion from Greg Abbott, dated January 7, 2010, addressed to Senator Rodney Ellis. The opinion, GA-0754, concerns the scope of the Texas Governor's power to grant posthumous pardons and related constitutional and statutory provisions. The document itself does not contain information directly relevant to Liberty County political...</t>
        </is>
      </c>
      <c r="D7" t="inlineStr">
        <is>
          <t>C:\Users\kelly\My Drive\Maria\Abbott opinion ellis.jpg</t>
        </is>
      </c>
      <c r="E7" t="inlineStr">
        <is>
          <t>Verified OCR / Pending Audit</t>
        </is>
      </c>
      <c r="F7" t="inlineStr">
        <is>
          <t>Official opinion text from Texas Attorney General regarding pardon power scope.</t>
        </is>
      </c>
    </row>
    <row r="8">
      <c r="A8" t="inlineStr">
        <is>
          <t>V7</t>
        </is>
      </c>
      <c r="B8" t="inlineStr">
        <is>
          <t>Transparency / Compliance Gaps</t>
        </is>
      </c>
      <c r="C8" t="inlineStr">
        <is>
          <t>This image depicts an analytical report detailing the opaque ownership of an aircraft (N9883H) registered to an LLC whose name mirrors the tail number, a strategy described as "deliberate identity-concealment." While the report highlights hidden ownership and an untraceable structure, it specifically mentions Franklin, TX, and Robertson County, TX, and does not provide information directly link...</t>
        </is>
      </c>
      <c r="D8" t="inlineStr">
        <is>
          <t>C:\Users\kelly\My Drive\Maria\Cleveland airport.jpg</t>
        </is>
      </c>
      <c r="E8" t="inlineStr">
        <is>
          <t>Verified OCR / Pending Audit</t>
        </is>
      </c>
      <c r="F8" t="inlineStr">
        <is>
          <t>FAA registry listings for N9883H, LLC corporate filings, airport logs.</t>
        </is>
      </c>
    </row>
    <row r="9">
      <c r="A9" t="inlineStr">
        <is>
          <t>V8</t>
        </is>
      </c>
      <c r="B9" t="inlineStr">
        <is>
          <t>Developer / Special District Finance</t>
        </is>
      </c>
      <c r="C9" t="inlineStr">
        <is>
          <t>The image displays a screenshot of the Liberty County Clerk/Recorder's online system showing details for a "Correction Special Warranty Deed" dated May 29, 2026, recorded on June 2, 2026, for property within "Liberty County Municipal Management District No. 1." The deed involves Grantor William Harris III and Grantee John Monroe Harris, correcting a prior deed from November 2023 due to an incor...</t>
        </is>
      </c>
      <c r="D9" t="inlineStr">
        <is>
          <t>C:\Users\kelly\My Drive\Maria\Harris_John_William.jpeg</t>
        </is>
      </c>
      <c r="E9" t="inlineStr">
        <is>
          <t>Verified OCR / Pending Audit</t>
        </is>
      </c>
      <c r="F9" t="inlineStr">
        <is>
          <t>Director qualification records for MMD #1, MMD meeting minutes, Trey Harris financial filings.</t>
        </is>
      </c>
    </row>
    <row r="10">
      <c r="A10" t="inlineStr">
        <is>
          <t>V9</t>
        </is>
      </c>
      <c r="B10" t="inlineStr">
        <is>
          <t>Transparency / Compliance Gaps</t>
        </is>
      </c>
      <c r="C10" t="inlineStr">
        <is>
          <t>The image depicts a man, Joseph M Williams, appearing to be in a hospital or rehabilitation setting, utilizing a walker and wearing a medical support harness, with a woman standing behind him. The accompanying social media post details his struggle with a back injury sustained at work 5 weeks prior, financial hardship due to issues with Workman's Comp, and expresses gratitude for assistance fro...</t>
        </is>
      </c>
      <c r="D10" t="inlineStr">
        <is>
          <t>C:\Users\kelly\My Drive\Maria\Joe Williams accident post.jpg</t>
        </is>
      </c>
      <c r="E10" t="inlineStr">
        <is>
          <t>Verified OCR / Pending Audit</t>
        </is>
      </c>
      <c r="F10" t="inlineStr">
        <is>
          <t>Workers compensation filings, incident report, Deputies Relief Fund audits.</t>
        </is>
      </c>
    </row>
    <row r="11">
      <c r="A11" t="inlineStr">
        <is>
          <t>V10</t>
        </is>
      </c>
      <c r="B11" t="inlineStr">
        <is>
          <t>Transparency / Compliance Gaps</t>
        </is>
      </c>
      <c r="C11" t="inlineStr">
        <is>
          <t>Summary:**
    The image presents search results differentiating between Ramiro Lozano, a Liberty Police lieutenant suspended for alleged misconduct including misuse of law enforcement databases for private businesses, and Juan Lozano, a deceased former federal agent with no connection to Liberty County. This information is highly relevant to Liberty County political/developer corruption as it...</t>
        </is>
      </c>
      <c r="D11" t="inlineStr">
        <is>
          <t>C:\Users\kelly\My Drive\Maria\Lt Juan lozano</t>
        </is>
      </c>
      <c r="E11" t="inlineStr">
        <is>
          <t>Verified OCR / Pending Audit</t>
        </is>
      </c>
      <c r="F11" t="inlineStr">
        <is>
          <t>Ramiro Lozano's Texas Rangers investigation files, suspension notices, database audit logs.</t>
        </is>
      </c>
    </row>
    <row r="12">
      <c r="A12" t="inlineStr">
        <is>
          <t>V11</t>
        </is>
      </c>
      <c r="B12" t="inlineStr">
        <is>
          <t>ISD Financial Transparency</t>
        </is>
      </c>
      <c r="C12" t="inlineStr">
        <is>
          <t>This image displays a screenshot from the National Center for Education Statistics (NCES) website, detailing directory and fiscal information for Tarkington Independent School District (ISD) in Cleveland, TX, including total revenue and expenditure breakdowns for the 2020-2021 fiscal year. While the data itself is factual and does not explicitly mention corruption or developers, it provides fin...</t>
        </is>
      </c>
      <c r="D12" t="inlineStr">
        <is>
          <t>C:\Users\kelly\My Drive\Maria\Screenshot_20240417_091711_Chrome.jpg</t>
        </is>
      </c>
      <c r="E12" t="inlineStr">
        <is>
          <t>Verified OCR / Pending Audit</t>
        </is>
      </c>
      <c r="F12" t="inlineStr">
        <is>
          <t>NCES database historical audits, TISD district annual financial reports.</t>
        </is>
      </c>
    </row>
    <row r="13">
      <c r="A13" t="inlineStr">
        <is>
          <t>V12</t>
        </is>
      </c>
      <c r="B13" t="inlineStr">
        <is>
          <t>Developer / Special District Finance</t>
        </is>
      </c>
      <c r="C13" t="inlineStr">
        <is>
          <t>The image displays a Facebook post from "Grizzy's Hood News" reporting on persistent water quality issues, specifically discolored brown water, affecting residents in the King's Mill subdivision (MUD 98) in Kingwood, Texas for over two weeks. This highlights potential infrastructure and oversight challenges within Municipal Utility Districts in rapidly developing areas, which is relevant to dis...</t>
        </is>
      </c>
      <c r="D13" t="inlineStr">
        <is>
          <t>C:\Users\kelly\My Drive\Maria\Screenshot_20251015_225810_Facebook.jpg</t>
        </is>
      </c>
      <c r="E13" t="inlineStr">
        <is>
          <t>Verified OCR / Pending Audit</t>
        </is>
      </c>
      <c r="F13" t="inlineStr">
        <is>
          <t>MUD 98 water test logs, service contracts with operators, county health notices.</t>
        </is>
      </c>
    </row>
    <row r="14">
      <c r="A14" t="inlineStr">
        <is>
          <t>V13</t>
        </is>
      </c>
      <c r="B14" t="inlineStr">
        <is>
          <t>Developer / Special District Finance</t>
        </is>
      </c>
      <c r="C14" t="inlineStr">
        <is>
          <t>The image depicts a Facebook post by Maria Acevedo expressing concern about the number of homes built in floodplains in Liberty County, mentioning an investigative reporter to delve into the issue. The post links to an article from "reduceflooding.com" which claims an investigation found 65,000 homes built in the region's floodplains since Hurricane Harvey, strongly implying potential developer...</t>
        </is>
      </c>
      <c r="D14" t="inlineStr">
        <is>
          <t>C:\Users\kelly\My Drive\Maria\Screenshot_20251015_225848_Facebook.jpg</t>
        </is>
      </c>
      <c r="E14" t="inlineStr">
        <is>
          <t>Verified OCR / Pending Audit</t>
        </is>
      </c>
      <c r="F14" t="inlineStr">
        <is>
          <t>FEMA floodplain maps for Santa Fe sections, development drainage permits.</t>
        </is>
      </c>
    </row>
    <row r="15">
      <c r="A15" t="inlineStr">
        <is>
          <t>V14</t>
        </is>
      </c>
      <c r="B15" t="inlineStr">
        <is>
          <t>ISD Financial Transparency</t>
        </is>
      </c>
      <c r="C15" t="inlineStr">
        <is>
          <t>The image depicts a Facebook Messenger conversation with "Aimee Lamb," including an offer of support from the sender. The core of the conversation involves two shared posts from "Concerned Parents of Tarkington ISD," one a passionate personal statement about being publicly embarrassed and silenced regarding school advocacy, mentioning "FBI IN," and the other a more measured, AI-generated (ChatG...</t>
        </is>
      </c>
      <c r="D15" t="inlineStr">
        <is>
          <t>C:\Users\kelly\My Drive\Maria\Screenshot_20260310_aimeelamb_Messenger.jpg</t>
        </is>
      </c>
      <c r="E15" t="inlineStr">
        <is>
          <t>Verified OCR / Pending Audit</t>
        </is>
      </c>
      <c r="F15" t="inlineStr">
        <is>
          <t>TISD BoardBook logs, public comments transcripts, FBI inquiry status if any.</t>
        </is>
      </c>
    </row>
    <row r="16">
      <c r="A16" t="inlineStr">
        <is>
          <t>V15</t>
        </is>
      </c>
      <c r="B16" t="inlineStr">
        <is>
          <t>ISD Financial Transparency</t>
        </is>
      </c>
      <c r="C16" t="inlineStr">
        <is>
          <t>Summary:**
    The image depicts a Facebook post by Jason Holston expressing concerns about disciplinary issues, sexual predators, fights, bullying, drugs, and vaping in schools, emphasizing the obligation to protect children. He includes slides titled "Violent and Criminal Incidents" detailing school reporting requirements and incident categories, suggesting a critique of current safety measur...</t>
        </is>
      </c>
      <c r="D16" t="inlineStr">
        <is>
          <t>C:\Users\kelly\My Drive\Maria\Screenshot_20260310_schoolboard_Facebook.jpg</t>
        </is>
      </c>
      <c r="E16" t="inlineStr">
        <is>
          <t>Verified OCR / Pending Audit</t>
        </is>
      </c>
      <c r="F16" t="inlineStr">
        <is>
          <t>TISD student incident logs, security protocols, PEIMS reporting records.</t>
        </is>
      </c>
    </row>
    <row r="17">
      <c r="A17" t="inlineStr">
        <is>
          <t>V16</t>
        </is>
      </c>
      <c r="B17" t="inlineStr">
        <is>
          <t>Developer / Special District Finance</t>
        </is>
      </c>
      <c r="C17" t="inlineStr">
        <is>
          <t>The image depicts a Facebook post by "The Vindicator" announcing that Liberty County Commissioners have approved a financing step for the "Sterling Traditions" subdivision near Dayton, Texas, through the creation of a Public Improvement District (PID). This news highlights the direct involvement of Liberty County's political body in facilitating large-scale developer projects, which could be re...</t>
        </is>
      </c>
      <c r="D17" t="inlineStr">
        <is>
          <t>C:\Users\kelly\My Drive\Maria\Screenshot_20260310_sterlingtraditions_Facebook.jpg</t>
        </is>
      </c>
      <c r="E17" t="inlineStr">
        <is>
          <t>Verified OCR / Pending Audit</t>
        </is>
      </c>
      <c r="F17" t="inlineStr">
        <is>
          <t>Liberty County Commissioners Court minutes approving the Sterling Traditions PID.</t>
        </is>
      </c>
    </row>
    <row r="18">
      <c r="A18" t="inlineStr">
        <is>
          <t>V17</t>
        </is>
      </c>
      <c r="B18" t="inlineStr">
        <is>
          <t>Developer / Special District Finance</t>
        </is>
      </c>
      <c r="C18" t="inlineStr">
        <is>
          <t>This image displays a detailed record of a "DEED OF TRUST" from Liberty County, Texas, filed on 12/04/2025 (a future date), involving Preston Lee and Regina Ann Coats as Grantors and First National Bank of America as Grantee, for a 1.000-acre property in the B Tarkington Survey, Abstract 354. This type of public record is critical for tracking land ownership, liens, and transfers in Liberty Cou...</t>
        </is>
      </c>
      <c r="D18" t="inlineStr">
        <is>
          <t>C:\Users\kelly\My Drive\Maria\Screenshot_20260324_200533_Chrome.jpg</t>
        </is>
      </c>
      <c r="E18" t="inlineStr">
        <is>
          <t>Verified OCR / Pending Audit</t>
        </is>
      </c>
      <c r="F18" t="inlineStr">
        <is>
          <t>Complete Deed of Trust text, loan servicing info for Abstract 354 parcels.</t>
        </is>
      </c>
    </row>
    <row r="19">
      <c r="A19" t="inlineStr">
        <is>
          <t>V18</t>
        </is>
      </c>
      <c r="B19" t="inlineStr">
        <is>
          <t>Developer / Special District Finance</t>
        </is>
      </c>
      <c r="C19" t="inlineStr">
        <is>
          <t>The image displays a public record from texasfile.com for an "AGREEMENT" filed in Liberty County on May 9, 2019, concerning 1.985 acres in the Barton Tarkington League survey. The agreement involves individuals (Davis Paul Edward and Davis Paul E Sr) as Grantors and a pipeline company (ONEOK ARBUCKLE II PIPELINE LLC) as the Grantee. This document is relevant to Liberty County land use and infra...</t>
        </is>
      </c>
      <c r="D19" t="inlineStr">
        <is>
          <t>C:\Users\kelly\My Drive\Maria\Screenshot_20260324_201518_Chrome.jpg</t>
        </is>
      </c>
      <c r="E19" t="inlineStr">
        <is>
          <t>Verified OCR / Pending Audit</t>
        </is>
      </c>
      <c r="F19" t="inlineStr">
        <is>
          <t>ONEOK pipeline easement files, land valuation reports for Abstract 354.</t>
        </is>
      </c>
    </row>
    <row r="20">
      <c r="A20" t="inlineStr">
        <is>
          <t>V19</t>
        </is>
      </c>
      <c r="B20" t="inlineStr">
        <is>
          <t>Developer / Special District Finance</t>
        </is>
      </c>
      <c r="C20" t="inlineStr">
        <is>
          <t>summary cards.
3.  **Analysis:**
    The image displays a search results page from texasfile.com for property records in Liberty County, filtered specifically for "Abstract: 354," yielding 45 results. The displayed records are predominantly "EASEMENT" and "DESIGNATION" documents. Key information for each record includes the date filed, instrument number, grantors (individuals and corporate ent...</t>
        </is>
      </c>
      <c r="D20" t="inlineStr">
        <is>
          <t>C:\Users\kelly\My Drive\Maria\Screenshot_20260324_202047_Chrome.jpg</t>
        </is>
      </c>
      <c r="E20" t="inlineStr">
        <is>
          <t>Verified OCR / Pending Audit</t>
        </is>
      </c>
      <c r="F20" t="inlineStr">
        <is>
          <t>Full property records and deeds for Abstract 354, Grand Prix / Blackfin pipeline specs.</t>
        </is>
      </c>
    </row>
    <row r="21">
      <c r="A21" t="inlineStr">
        <is>
          <t>V20</t>
        </is>
      </c>
      <c r="B21" t="inlineStr">
        <is>
          <t>Political / Legislative Influence</t>
        </is>
      </c>
      <c r="C21" t="inlineStr">
        <is>
          <t>The image depicts a Facebook post by "The Vindicator" congratulating Liberty County Judge Jay Knight for being voted the "2026 Readers' Choice Best Local Elected Official." The photo shows Judge Knight and a woman holding a certificate and a card, both clearly indicating the "2026" award. The premature awarding of a "2026" title raises questions about the integrity and transparency of the Reade...</t>
        </is>
      </c>
      <c r="D21" t="inlineStr">
        <is>
          <t>C:\Users\kelly\My Drive\Maria\Screenshot_20260417_154936_Facebook.jpg</t>
        </is>
      </c>
      <c r="E21" t="inlineStr">
        <is>
          <t>Verified OCR / Pending Audit</t>
        </is>
      </c>
      <c r="F21" t="inlineStr">
        <is>
          <t>The Vindicator Reader's Choice award archives and scoring system documentation.</t>
        </is>
      </c>
    </row>
    <row r="22">
      <c r="A22" t="inlineStr">
        <is>
          <t>V21</t>
        </is>
      </c>
      <c r="B22" t="inlineStr">
        <is>
          <t>Transparency / Compliance Gaps</t>
        </is>
      </c>
      <c r="C22" t="inlineStr">
        <is>
          <t>The image depicts a Facebook Messenger conversation where Dolcefino Media is investigating a user's claim about a veteran run over by Liberty County PD. The user asserts that official reports (Liberty City Police vs. DPS) are contradictory, and an officer's body cam footage tells a different story, indicating potential issues or cover-ups in the official handling of the incident by Liberty Coun...</t>
        </is>
      </c>
      <c r="D22" t="inlineStr">
        <is>
          <t>C:\Users\kelly\My Drive\Maria\Screenshot_20260514_112651_Messenger.jpg</t>
        </is>
      </c>
      <c r="E22" t="inlineStr">
        <is>
          <t>Verified OCR / Pending Audit</t>
        </is>
      </c>
      <c r="F22" t="inlineStr">
        <is>
          <t>Dolcefino Media's investigative requests, police bodycam footage, accident reports.</t>
        </is>
      </c>
    </row>
    <row r="23">
      <c r="A23" t="inlineStr">
        <is>
          <t>V22</t>
        </is>
      </c>
      <c r="B23" t="inlineStr">
        <is>
          <t>Transparency / Compliance Gaps</t>
        </is>
      </c>
      <c r="C23" t="inlineStr">
        <is>
          <t>The image depicts a Google Images search for "jeffrey wayne burge ii", displaying various individuals, most notably a mugshot associated with a "Liberty County Jail arrest report" and a professional profile for "Jeffrey Burge - Director of Par..." from LinkedIn. While not explicitly showing corruption, the search for this specific name in conjunction with a Liberty County Jail arrest report cou...</t>
        </is>
      </c>
      <c r="D23" t="inlineStr">
        <is>
          <t>C:\Users\kelly\My Drive\Maria\Screenshot_20260518_072053_Google.jpg</t>
        </is>
      </c>
      <c r="E23" t="inlineStr">
        <is>
          <t>Verified OCR / Pending Audit</t>
        </is>
      </c>
      <c r="F23" t="inlineStr">
        <is>
          <t>Liberty County Jail booking logs for Jeffrey Wayne Burge II, charging documents.</t>
        </is>
      </c>
    </row>
    <row r="24">
      <c r="A24" t="inlineStr">
        <is>
          <t>V23</t>
        </is>
      </c>
      <c r="B24" t="inlineStr">
        <is>
          <t>Political / Legislative Influence</t>
        </is>
      </c>
      <c r="C24" t="inlineStr">
        <is>
          <t>The image captures a Facebook post from "HCRP" alleging political corruption, accusing candidate Alex Mealer of lacking Republican credentials and being influenced by Colony Ridge developers, who also made donations to Governor Abbott and Briscoe Cain. The post also includes an embedded message from Alex Mealer criticizing Briscoe Cain over Colony Ridge and a separate post from Wade Brown annou...</t>
        </is>
      </c>
      <c r="D24" t="inlineStr">
        <is>
          <t>C:\Users\kelly\My Drive\Maria\Screenshot_20260519_000215_Facebook.jpg</t>
        </is>
      </c>
      <c r="E24" t="inlineStr">
        <is>
          <t>Verified OCR / Pending Audit</t>
        </is>
      </c>
      <c r="F24" t="inlineStr">
        <is>
          <t>Campaign finance reports (TEC filings) for Governor Abbott, Briscoe Cain, and Alex Mealer.</t>
        </is>
      </c>
    </row>
    <row r="25">
      <c r="A25" t="inlineStr">
        <is>
          <t>V24</t>
        </is>
      </c>
      <c r="B25" t="inlineStr">
        <is>
          <t>Developer / Special District Finance</t>
        </is>
      </c>
      <c r="C25" t="inlineStr">
        <is>
          <t>The image depicts a Facebook post by Maria Acevedo sharing a video from the Liberty County Commissioner Court about a "DATA CENTER" and includes a public notice and partial agenda for a meeting scheduled for November 18, 2025. The agenda highlights an interlocal agreement regarding data services, longevity pay for the County Treasurer, and property resale bids, suggesting ongoing discussions an...</t>
        </is>
      </c>
      <c r="D25" t="inlineStr">
        <is>
          <t>C:\Users\kelly\My Drive\Maria\Screenshot_20260522_071906_Facebook.jpg</t>
        </is>
      </c>
      <c r="E25" t="inlineStr">
        <is>
          <t>Verified OCR / Pending Audit</t>
        </is>
      </c>
      <c r="F25" t="inlineStr">
        <is>
          <t>Liberty County Commissioners Court agendas and minutes for Nov 18, 2025.</t>
        </is>
      </c>
    </row>
    <row r="26">
      <c r="A26" t="inlineStr">
        <is>
          <t>V25</t>
        </is>
      </c>
      <c r="B26" t="inlineStr">
        <is>
          <t>Developer / Special District Finance</t>
        </is>
      </c>
      <c r="C26" t="inlineStr">
        <is>
          <t>The image depicts a Facebook post by Dawn Mangum Casey expressing strong opposition to proposed industrial developments (a concrete batch plant and data center) in Raywood, Liberty County, Texas, citing concerns about increased pollution, crime, and corporate disregard for small town life. The post and comments imply potential political or developer corruption, referencing non-compliance with r...</t>
        </is>
      </c>
      <c r="D26" t="inlineStr">
        <is>
          <t>C:\Users\kelly\My Drive\Maria\Screenshot_20260602_010243_Facebook.jpg</t>
        </is>
      </c>
      <c r="E26" t="inlineStr">
        <is>
          <t>Verified OCR / Pending Audit</t>
        </is>
      </c>
      <c r="F26" t="inlineStr">
        <is>
          <t>TCEQ air/water permit applications for Raywood concrete batch plant and data center.</t>
        </is>
      </c>
    </row>
    <row r="27">
      <c r="A27" t="inlineStr">
        <is>
          <t>V26</t>
        </is>
      </c>
      <c r="B27" t="inlineStr">
        <is>
          <t>Transparency / Compliance Gaps</t>
        </is>
      </c>
      <c r="C27" t="inlineStr">
        <is>
          <t>Summary:**
    This document presents the minutes of the Liberty County Central Appraisal District Board of Directors' regular meeting on March 27, 2025, detailing routine administrative approvals, financial reports, operational updates, and an executive session for legally permissible discussions. The provided text of these minutes does not contain information indicating political or developer...</t>
        </is>
      </c>
      <c r="D27" t="inlineStr">
        <is>
          <t>C:\Users\kelly\My Drive\Maria\cadboard.jpg</t>
        </is>
      </c>
      <c r="E27" t="inlineStr">
        <is>
          <t>Verified OCR / Pending Audit</t>
        </is>
      </c>
      <c r="F27" t="inlineStr">
        <is>
          <t>Liberty County CAD Board meeting minutes, property valuation adjustments for developers.</t>
        </is>
      </c>
    </row>
    <row r="28">
      <c r="A28" t="inlineStr">
        <is>
          <t>V27</t>
        </is>
      </c>
      <c r="B28" t="inlineStr">
        <is>
          <t>Developer / Special District Finance</t>
        </is>
      </c>
      <c r="C28" t="inlineStr">
        <is>
          <t>The image displays a publicly recorded "Assignment of Rents" document from the Liberty County Clerk/Recorder's website, dated March 19, 2021. It details DUDLEY ESTATE 1938 LLC (Grantor) assigning rents from a 0.530-acre property at 511 Dudley St, Cleveland, TX, to SOUTHSIDE BANK (Lender) as security for a $215,050.00 promissory note. This document serves as a record of a financial transaction i...</t>
        </is>
      </c>
      <c r="D28" t="inlineStr">
        <is>
          <t>C:\Users\kelly\My Drive\Maria\dudley liberty.jpg</t>
        </is>
      </c>
      <c r="E28" t="inlineStr">
        <is>
          <t>Verified OCR / Pending Audit</t>
        </is>
      </c>
      <c r="F28" t="inlineStr">
        <is>
          <t>Southside Bank promissory note, Dudley Estate 1938 LLC banking records, rent logs.</t>
        </is>
      </c>
    </row>
    <row r="29">
      <c r="A29" t="inlineStr">
        <is>
          <t>V28</t>
        </is>
      </c>
      <c r="B29" t="inlineStr">
        <is>
          <t>Transparency / Compliance Gaps</t>
        </is>
      </c>
      <c r="C29" t="inlineStr">
        <is>
          <t>This document is a Memorandum Opinion from the Ninth District Court of Appeals in Texas, dismissing an appeal filed by Melvin Walker against George Steve Hebert et al. for failure to prosecute (specifically, failing to file a brief). While the original case originated from the 75th District Court in Liberty County, Texas, the dismissal on procedural grounds means this document does not contain ...</t>
        </is>
      </c>
      <c r="D29" t="inlineStr">
        <is>
          <t>C:\Users\kelly\My Drive\Maria\legal opinion 2020.jpg</t>
        </is>
      </c>
      <c r="E29" t="inlineStr">
        <is>
          <t>Verified OCR / Pending Audit</t>
        </is>
      </c>
      <c r="F29" t="inlineStr">
        <is>
          <t>Court case filings for Melvin Walker v. George Hebert in 75th District Court.</t>
        </is>
      </c>
    </row>
    <row r="30">
      <c r="A30" t="inlineStr">
        <is>
          <t>V29</t>
        </is>
      </c>
      <c r="B30" t="inlineStr">
        <is>
          <t>Transparency / Compliance Gaps</t>
        </is>
      </c>
      <c r="C30" t="inlineStr">
        <is>
          <t>Summary:**
    The image displays a Harris County Tax Office webpage detailing "TAX SALE PROPERTY INFORMATION" for account 018-114-000-0007, owned by Jessica C Quintana. The relevance to Liberty County political/developer corruption stems from the assessed owner's mailing address being in Dayton, TX (Liberty County), indicating a Liberty County resident owns property in Harris County that is su...</t>
        </is>
      </c>
      <c r="D30" t="inlineStr">
        <is>
          <t>C:\Users\kelly\My Drive\Maria\quintana Harris.jpg</t>
        </is>
      </c>
      <c r="E30" t="inlineStr">
        <is>
          <t>Verified OCR / Pending Audit</t>
        </is>
      </c>
      <c r="F30" t="inlineStr">
        <is>
          <t>Harris County Tax Office tax sale documents, Jessica C. Quintana tax lien records.</t>
        </is>
      </c>
    </row>
    <row r="31">
      <c r="A31" t="inlineStr">
        <is>
          <t>V30</t>
        </is>
      </c>
      <c r="B31" t="inlineStr">
        <is>
          <t>Developer / Special District Finance</t>
        </is>
      </c>
      <c r="C31" t="inlineStr">
        <is>
          <t>This image displays "Liberty County Search Results" from "Texas File," showing 52 of 265 total property transactions involving individuals with the surname "Quintana." A significant number of these transactions (Deeds, Deeds of Trust, Notices, Releases) involve "Colony Ridge Development LLC" or "Colony Ridge Land LLC" as the primary Grantor for properties located within various "Santa Fe Sectio...</t>
        </is>
      </c>
      <c r="D31" t="inlineStr">
        <is>
          <t>C:\Users\kelly\My Drive\Maria\quintana deed.jpg</t>
        </is>
      </c>
      <c r="E31" t="inlineStr">
        <is>
          <t>Verified OCR / Pending Audit</t>
        </is>
      </c>
      <c r="F31" t="inlineStr">
        <is>
          <t>Deed histories for all 265 Quintana listings, Santa Fe section plats, title company links.</t>
        </is>
      </c>
    </row>
    <row r="32">
      <c r="A32" t="inlineStr">
        <is>
          <t>V31</t>
        </is>
      </c>
      <c r="B32" t="inlineStr">
        <is>
          <t>Developer / Special District Finance</t>
        </is>
      </c>
      <c r="C32" t="inlineStr">
        <is>
          <t>This image is a screenshot from "Texas File," an online property records database, displaying 49 search results for the name "Quintana" from various dates between August 2021 and May 2023. The records predominantly show numerous land transactions (deeds, notices, releases, etc.) involving individuals with the surname Quintana and significant development entities such as "Colony Ridge Land LLC,"...</t>
        </is>
      </c>
      <c r="D32" t="inlineStr">
        <is>
          <t>C:\Users\kelly\My Drive\Maria\quintana deed2.jpg</t>
        </is>
      </c>
      <c r="E32" t="inlineStr">
        <is>
          <t>Verified OCR / Pending Audit</t>
        </is>
      </c>
      <c r="F32" t="inlineStr">
        <is>
          <t>Colony Ridge deeds of trust for Quintana buyers, developer-financing contracts.</t>
        </is>
      </c>
    </row>
    <row r="33">
      <c r="A33" t="inlineStr">
        <is>
          <t>V32</t>
        </is>
      </c>
      <c r="B33" t="inlineStr">
        <is>
          <t>ISD Financial Transparency</t>
        </is>
      </c>
      <c r="C33" t="inlineStr">
        <is>
          <t>The image displays a professional profile summary for Susan Rollins, identifying her as the President of Excell Fueling Systems, a Texas-based company specializing in fuel storage systems. It notes that her company was acquired by SPATCO Energy Solutions in September 2025. This image provides no direct information or explicit mention of Liberty County, political corruption, or developer corrupt...</t>
        </is>
      </c>
      <c r="D33" t="inlineStr">
        <is>
          <t>C:\Users\kelly\My Drive\Maria\rollins excell llc.jpg</t>
        </is>
      </c>
      <c r="E33" t="inlineStr">
        <is>
          <t>Verified OCR / Pending Audit</t>
        </is>
      </c>
      <c r="F33" t="inlineStr">
        <is>
          <t>Excell Fueling Systems vendor invoices with local ISD/MUDs, SPATCO acquisition details.</t>
        </is>
      </c>
    </row>
    <row r="34">
      <c r="A34" t="inlineStr">
        <is>
          <t>V33</t>
        </is>
      </c>
      <c r="B34" t="inlineStr">
        <is>
          <t>ISD Financial Transparency</t>
        </is>
      </c>
      <c r="C34" t="inlineStr">
        <is>
          <t>The image depicts a network diagram illustrating connections between several individuals and business entities, including "J. Rollins Construction, Inc.," "Max Energy X-Cell, LLC," and "The Liberty County Farm Bureau." The diagram highlights various relationships, primarily converging on "Max Energy X-Cell, LLC," which may suggest a complex web of affiliations relevant to local business or poli...</t>
        </is>
      </c>
      <c r="D34" t="inlineStr">
        <is>
          <t>C:\Users\kelly\My Drive\Maria\rollinsnwtwork.jpg</t>
        </is>
      </c>
      <c r="E34" t="inlineStr">
        <is>
          <t>Verified OCR / Pending Audit</t>
        </is>
      </c>
      <c r="F34" t="inlineStr">
        <is>
          <t>J. Rollins Construction contracts with Liberty County/ISD, Max Energy X-Cell LLC filings.</t>
        </is>
      </c>
    </row>
    <row r="35">
      <c r="A35" t="inlineStr">
        <is>
          <t>V34</t>
        </is>
      </c>
      <c r="B35" t="inlineStr">
        <is>
          <t>County Procurement / Vendor Cycle</t>
        </is>
      </c>
      <c r="C35" t="inlineStr">
        <is>
          <t>The image details a comprehensive list of professional and organizational affiliations for Mark Sjolander and Jon Mark Sjolander, centered in Dayton, TX. These numerous roles in local economic development, emergency services, agricultural organizations, and private businesses could indicate significant influence and interconnectedness within Liberty County's local governance and private sectors.</t>
        </is>
      </c>
      <c r="D35" t="inlineStr">
        <is>
          <t>C:\Users\kelly\My Drive\Maria\sjolander.jpg</t>
        </is>
      </c>
      <c r="E35" t="inlineStr">
        <is>
          <t>Verified OCR / Pending Audit</t>
        </is>
      </c>
      <c r="F35" t="inlineStr">
        <is>
          <t>Liberty County EMS Inc financial statements, Cmc Railroad Inc contracts, EDC disclosures.</t>
        </is>
      </c>
    </row>
    <row r="36">
      <c r="A36" t="inlineStr">
        <is>
          <t>V35</t>
        </is>
      </c>
      <c r="B36" t="inlineStr">
        <is>
          <t>ISD Financial Transparency</t>
        </is>
      </c>
      <c r="C36" t="inlineStr">
        <is>
          <t>This image displays the agenda for a Special Board Meeting of the Tarkington Independent School District scheduled for March 9, 2026. While primarily addressing routine school district operations including personnel and legal consultations, items such as "Deliberation Regarding Real Property" and "Consultation with Attorney" for "pending or contemplated litigation" and "contract negotiations" c...</t>
        </is>
      </c>
      <c r="D36" t="inlineStr">
        <is>
          <t>C:\Users\kelly\My Drive\Maria\studentfoundation.jpg</t>
        </is>
      </c>
      <c r="E36" t="inlineStr">
        <is>
          <t>Verified OCR / Pending Audit</t>
        </is>
      </c>
      <c r="F36" t="inlineStr">
        <is>
          <t>TISD Special Board Meeting minutes for March 9, 2026, real property transaction details.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70" customWidth="1" min="2" max="2"/>
    <col width="42" customWidth="1" min="3" max="3"/>
  </cols>
  <sheetData>
    <row r="1">
      <c r="A1" s="46" t="inlineStr">
        <is>
          <t>Repository / Custodian</t>
        </is>
      </c>
      <c r="B1" s="46" t="inlineStr">
        <is>
          <t>Request Target</t>
        </is>
      </c>
      <c r="C1" s="46" t="inlineStr">
        <is>
          <t>Why It Matters</t>
        </is>
      </c>
    </row>
    <row r="2">
      <c r="A2" t="inlineStr">
        <is>
          <t>Liberty County Commissioners Court</t>
        </is>
      </c>
      <c r="B2" t="inlineStr">
        <is>
          <t>All agenda packets, minutes, warrants payable, contracts, bids, bid tabs, change orders for engineering/paving/drainage vendors, 2016-2026</t>
        </is>
      </c>
      <c r="C2" t="inlineStr">
        <is>
          <t>Procurement cycle validation</t>
        </is>
      </c>
    </row>
    <row r="3">
      <c r="A3" t="inlineStr">
        <is>
          <t>Liberty County Clerk</t>
        </is>
      </c>
      <c r="B3" t="inlineStr">
        <is>
          <t>Recorded instruments, plats, easements, development agreements, dedications involving Colony Ridge entities and affiliated districts</t>
        </is>
      </c>
      <c r="C3" t="inlineStr">
        <is>
          <t>Recorded document backbone</t>
        </is>
      </c>
    </row>
    <row r="4">
      <c r="A4" t="inlineStr">
        <is>
          <t>Liberty County MUD / MMD entities</t>
        </is>
      </c>
      <c r="B4" t="inlineStr">
        <is>
          <t>Audits, board rosters, reimbursement agreements, developer contracts, bond documents, engineer reports</t>
        </is>
      </c>
      <c r="C4" t="inlineStr">
        <is>
          <t>Debt and special-district control map</t>
        </is>
      </c>
    </row>
    <row r="5">
      <c r="A5" t="inlineStr">
        <is>
          <t>Tarkington ISD</t>
        </is>
      </c>
      <c r="B5" t="inlineStr">
        <is>
          <t>Check registers, JET grant procurement file, invoices, PO approvals, BoardBook packet backup</t>
        </is>
      </c>
      <c r="C5" t="inlineStr">
        <is>
          <t>ISD financial transparency</t>
        </is>
      </c>
    </row>
    <row r="6">
      <c r="A6" t="inlineStr">
        <is>
          <t>Constable Precinct 5 / TISD</t>
        </is>
      </c>
      <c r="B6" t="inlineStr">
        <is>
          <t>SRO agreement renewals/amendments, insurance, TCOLE certifications, incident-review procedures</t>
        </is>
      </c>
      <c r="C6" t="inlineStr">
        <is>
          <t>Law enforcement compliance</t>
        </is>
      </c>
    </row>
    <row r="7">
      <c r="A7" t="inlineStr">
        <is>
          <t>Texas Ethics Commission</t>
        </is>
      </c>
      <c r="B7" t="inlineStr">
        <is>
          <t>Campaign finance records for named officials/PACs/vendors/developers; Form 1295 conflict disclosures</t>
        </is>
      </c>
      <c r="C7" t="inlineStr">
        <is>
          <t>Donor/contract timing correlation</t>
        </is>
      </c>
    </row>
    <row r="8">
      <c r="A8" t="inlineStr">
        <is>
          <t>TCEQ / EPA / DOJ / AG</t>
        </is>
      </c>
      <c r="B8" t="inlineStr">
        <is>
          <t>Enforcement files, permits, complaints, settlement compliance records</t>
        </is>
      </c>
      <c r="C8" t="inlineStr">
        <is>
          <t>Environmental and enforcement corroboration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42" customWidth="1" min="2" max="2"/>
    <col width="18" customWidth="1" min="3" max="3"/>
    <col width="26" customWidth="1" min="4" max="4"/>
    <col width="58" customWidth="1" min="5" max="5"/>
    <col width="30" customWidth="1" min="6" max="6"/>
    <col width="54" customWidth="1" min="7" max="7"/>
  </cols>
  <sheetData>
    <row r="1">
      <c r="A1" s="48" t="inlineStr">
        <is>
          <t>Drive ID / Ref</t>
        </is>
      </c>
      <c r="B1" s="48" t="inlineStr">
        <is>
          <t>Title</t>
        </is>
      </c>
      <c r="C1" s="48" t="inlineStr">
        <is>
          <t>File Type</t>
        </is>
      </c>
      <c r="D1" s="48" t="inlineStr">
        <is>
          <t>Created / Updated</t>
        </is>
      </c>
      <c r="E1" s="48" t="inlineStr">
        <is>
          <t>Evidence Located</t>
        </is>
      </c>
      <c r="F1" s="48" t="inlineStr">
        <is>
          <t>Merge Status</t>
        </is>
      </c>
      <c r="G1" s="48" t="inlineStr">
        <is>
          <t>Action</t>
        </is>
      </c>
    </row>
    <row r="2">
      <c r="A2" t="inlineStr">
        <is>
          <t>1XK7A3n-u2Bc0d3HkidsaGd_lJrgt0v--BwbS69YoH6Q</t>
        </is>
      </c>
      <c r="B2" t="inlineStr">
        <is>
          <t>colony ridge 060626 703.</t>
        </is>
      </c>
      <c r="C2" t="inlineStr">
        <is>
          <t>Google Doc</t>
        </is>
      </c>
      <c r="D2" t="inlineStr">
        <is>
          <t>Created 2026-06-08; Updated 2026-06-08</t>
        </is>
      </c>
      <c r="E2" t="inlineStr">
        <is>
          <t>References 'complete investigation trackers, entity logs, and physical property filings' and Liberty County Nexus visual proof.</t>
        </is>
      </c>
      <c r="F2" t="inlineStr">
        <is>
          <t>Discovered / needs import</t>
        </is>
      </c>
      <c r="G2" t="inlineStr">
        <is>
          <t>Open/fetch full doc, extract embedded tracker names, visuals, and record references.</t>
        </is>
      </c>
    </row>
    <row r="3">
      <c r="A3" t="inlineStr">
        <is>
          <t>197MJxYZpsuaWxkNnStbFkj5Rv7OK_yOvl20FaphhhBU</t>
        </is>
      </c>
      <c r="B3" t="inlineStr">
        <is>
          <t>Okay, you're still missing quite a bit of data eve...</t>
        </is>
      </c>
      <c r="C3" t="inlineStr">
        <is>
          <t>Google Doc</t>
        </is>
      </c>
      <c r="D3" t="inlineStr">
        <is>
          <t>Created 2026-06-08; Updated 2026-06-08</t>
        </is>
      </c>
      <c r="E3" t="inlineStr">
        <is>
          <t>Duplicate/similar Liberty County Nexus content referencing complete investigation trackers and visual proof.</t>
        </is>
      </c>
      <c r="F3" t="inlineStr">
        <is>
          <t>Discovered / possible duplicate</t>
        </is>
      </c>
      <c r="G3" t="inlineStr">
        <is>
          <t>Compare to colony ridge 060626 703 and keep only newest/clearest version.</t>
        </is>
      </c>
    </row>
    <row r="4">
      <c r="A4" t="inlineStr">
        <is>
          <t>1qYkrkoPz0v4DBuPi7Kqoin7dcldeeUDz0dMuwd7cyJI</t>
        </is>
      </c>
      <c r="B4" t="inlineStr">
        <is>
          <t>Liberty_Officials_Obituary_Tracker_FINAL</t>
        </is>
      </c>
      <c r="C4" t="inlineStr">
        <is>
          <t>Google Sheet</t>
        </is>
      </c>
      <c r="D4" t="inlineStr">
        <is>
          <t>Created 2025-11-10; Updated 2025-11-29</t>
        </is>
      </c>
      <c r="E4" t="inlineStr">
        <is>
          <t>Official names, roles, jurisdictions, notes; includes officials, CAD, MUD #1, county and ISD names.</t>
        </is>
      </c>
      <c r="F4" t="inlineStr">
        <is>
          <t>Discovered / high-value merge target</t>
        </is>
      </c>
      <c r="G4" t="inlineStr">
        <is>
          <t>Import rows into Officials &amp; Network tab; normalize name/surname/office/jurisdiction fields.</t>
        </is>
      </c>
    </row>
    <row r="5">
      <c r="A5" t="inlineStr">
        <is>
          <t>1tfGgejWuix-D3VgC8xQQxq8sePDjyAD4</t>
        </is>
      </c>
      <c r="B5" t="inlineStr">
        <is>
          <t>Liberty_Officials_Obituary_Tracker_FINAL.xlsx</t>
        </is>
      </c>
      <c r="C5" t="inlineStr">
        <is>
          <t>Excel file</t>
        </is>
      </c>
      <c r="D5" t="inlineStr">
        <is>
          <t>Created 2026-02-01; Updated 2025-11-12</t>
        </is>
      </c>
      <c r="E5" t="inlineStr">
        <is>
          <t>Excel version of official/obituary tracker with county, ISD, CAD, MUD roles.</t>
        </is>
      </c>
      <c r="F5" t="inlineStr">
        <is>
          <t>Discovered / likely duplicate of Google Sheet</t>
        </is>
      </c>
      <c r="G5" t="inlineStr">
        <is>
          <t>Compare version against Google Sheet; use latest complete version.</t>
        </is>
      </c>
    </row>
    <row r="6">
      <c r="A6" t="inlineStr">
        <is>
          <t>1iTerY2TkF1O9P8VvWW6qci2VmRh58ce0</t>
        </is>
      </c>
      <c r="B6" t="inlineStr">
        <is>
          <t>Liberty County Corruption Investigation.pdf</t>
        </is>
      </c>
      <c r="C6" t="inlineStr">
        <is>
          <t>PDF</t>
        </is>
      </c>
      <c r="D6" t="inlineStr">
        <is>
          <t>Created 2025-05-28</t>
        </is>
      </c>
      <c r="E6" t="inlineStr">
        <is>
          <t>Comprehensive Liberty County corruption/nepotism/predatory practices report.</t>
        </is>
      </c>
      <c r="F6" t="inlineStr">
        <is>
          <t>Discovered / report source</t>
        </is>
      </c>
      <c r="G6" t="inlineStr">
        <is>
          <t>Extract claim table and convert to Findings Register rows.</t>
        </is>
      </c>
    </row>
    <row r="7">
      <c r="A7" t="inlineStr">
        <is>
          <t>1VuHJYBxMgVcDz3KzRxXBf5vnLdZ-q7WEm87g6a_a_K0</t>
        </is>
      </c>
      <c r="B7" t="inlineStr">
        <is>
          <t>Liberty County Corruption Investigation</t>
        </is>
      </c>
      <c r="C7" t="inlineStr">
        <is>
          <t>Google Doc</t>
        </is>
      </c>
      <c r="D7" t="inlineStr">
        <is>
          <t>Created 2025-05-28</t>
        </is>
      </c>
      <c r="E7" t="inlineStr">
        <is>
          <t>Doc version of same report; includes MUDs, influence networks, SOS/funding overview.</t>
        </is>
      </c>
      <c r="F7" t="inlineStr">
        <is>
          <t>Discovered / report source</t>
        </is>
      </c>
      <c r="G7" t="inlineStr">
        <is>
          <t>Use as editable source if fuller than PDF.</t>
        </is>
      </c>
    </row>
    <row r="8">
      <c r="A8" t="inlineStr">
        <is>
          <t>10yajUO4aYx2CPY3jU_fNCh2sScrJ2QHyHhKZyfWpCi8</t>
        </is>
      </c>
      <c r="B8" t="inlineStr">
        <is>
          <t>Liberty County MUD 15 Report summaries</t>
        </is>
      </c>
      <c r="C8" t="inlineStr">
        <is>
          <t>Google Doc</t>
        </is>
      </c>
      <c r="D8" t="inlineStr">
        <is>
          <t>Created 2025-05-27</t>
        </is>
      </c>
      <c r="E8" t="inlineStr">
        <is>
          <t>MUD 15 report summaries; references formation, election irregularities, bond propositions up to $88M.</t>
        </is>
      </c>
      <c r="F8" t="inlineStr">
        <is>
          <t>Discovered / topic report</t>
        </is>
      </c>
      <c r="G8" t="inlineStr">
        <is>
          <t>Extract MUD 15 bond/election/board fields into MUD tab.</t>
        </is>
      </c>
    </row>
    <row r="9">
      <c r="A9" t="inlineStr">
        <is>
          <t>1Gn2kYOeYY5RPR9OGnqvsUbLe3Dn2ql0hiyh4JnESjZE</t>
        </is>
      </c>
      <c r="B9" t="inlineStr">
        <is>
          <t>Liberty County MUD 15 Report</t>
        </is>
      </c>
      <c r="C9" t="inlineStr">
        <is>
          <t>Google Doc</t>
        </is>
      </c>
      <c r="D9" t="inlineStr">
        <is>
          <t>Created 2025-05-27</t>
        </is>
      </c>
      <c r="E9" t="inlineStr">
        <is>
          <t>Comprehensive MUD 15 report; overlaps with summaries.</t>
        </is>
      </c>
      <c r="F9" t="inlineStr">
        <is>
          <t>Discovered / topic report</t>
        </is>
      </c>
      <c r="G9" t="inlineStr">
        <is>
          <t>Compare to summary version; extract primary dates/claims.</t>
        </is>
      </c>
    </row>
    <row r="10">
      <c r="A10" t="inlineStr">
        <is>
          <t>1ECP-pgoExjL9e2DA_Rpcyg8b3HxEKHTC</t>
        </is>
      </c>
      <c r="B10" t="inlineStr">
        <is>
          <t>Final Investigative Report: The Liberty County Cor....docx</t>
        </is>
      </c>
      <c r="C10" t="inlineStr">
        <is>
          <t>Word file</t>
        </is>
      </c>
      <c r="D10" t="inlineStr">
        <is>
          <t>Created 2025-09-09</t>
        </is>
      </c>
      <c r="E10" t="inlineStr">
        <is>
          <t>Final Investigative Report; includes lawsuits, legislative framework, systemic corruption analysis.</t>
        </is>
      </c>
      <c r="F10" t="inlineStr">
        <is>
          <t>Discovered / report source</t>
        </is>
      </c>
      <c r="G10" t="inlineStr">
        <is>
          <t>Convert Part/section table into findings and source index.</t>
        </is>
      </c>
    </row>
    <row r="11">
      <c r="A11" t="inlineStr">
        <is>
          <t>19iLF5NAMK7CytrPet2f6RHFlsXmBwpSFh6mxa8NpM40</t>
        </is>
      </c>
      <c r="B11" t="inlineStr">
        <is>
          <t>commissioners meetings 051325</t>
        </is>
      </c>
      <c r="C11" t="inlineStr">
        <is>
          <t>Google Doc</t>
        </is>
      </c>
      <c r="D11" t="inlineStr">
        <is>
          <t>Created 2025-05-15</t>
        </is>
      </c>
      <c r="E11" t="inlineStr">
        <is>
          <t>Commissioners meeting transcript/notes from April 28 special meeting.</t>
        </is>
      </c>
      <c r="F11" t="inlineStr">
        <is>
          <t>Discovered / meeting source</t>
        </is>
      </c>
      <c r="G11" t="inlineStr">
        <is>
          <t>Extract action items into official agenda/minutes cross-check tab.</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24" customWidth="1" min="2" max="2"/>
    <col width="64" customWidth="1" min="3" max="3"/>
    <col width="56" customWidth="1" min="4" max="4"/>
  </cols>
  <sheetData>
    <row r="1">
      <c r="A1" s="46" t="inlineStr">
        <is>
          <t>Pattern</t>
        </is>
      </c>
      <c r="B1" s="46" t="inlineStr">
        <is>
          <t>Media Lead Alone Is Enough?</t>
        </is>
      </c>
      <c r="C1" s="46" t="inlineStr">
        <is>
          <t>Minimum Confirmation Package</t>
        </is>
      </c>
      <c r="D1" s="46" t="inlineStr">
        <is>
          <t>Upgrade Rule</t>
        </is>
      </c>
    </row>
    <row r="2">
      <c r="A2" t="inlineStr">
        <is>
          <t>County contract/procurement</t>
        </is>
      </c>
      <c r="B2" t="inlineStr">
        <is>
          <t>No</t>
        </is>
      </c>
      <c r="C2" t="inlineStr">
        <is>
          <t>Agenda + minutes + contract/bid tab + Form 1295 + payment/warrants</t>
        </is>
      </c>
      <c r="D2" t="inlineStr">
        <is>
          <t>Finding only after county record confirms action and vendor.</t>
        </is>
      </c>
    </row>
    <row r="3">
      <c r="A3" t="inlineStr">
        <is>
          <t>MUD/MMD infrastructure</t>
        </is>
      </c>
      <c r="B3" t="inlineStr">
        <is>
          <t>No</t>
        </is>
      </c>
      <c r="C3" t="inlineStr">
        <is>
          <t>Public notice + MUD minutes + bid docs + engineer report + bond/reimbursement records</t>
        </is>
      </c>
      <c r="D3" t="inlineStr">
        <is>
          <t>Confirmed only after district record and financial record match.</t>
        </is>
      </c>
    </row>
    <row r="4">
      <c r="A4" t="inlineStr">
        <is>
          <t>Political influence/donor pattern</t>
        </is>
      </c>
      <c r="B4" t="inlineStr">
        <is>
          <t>No</t>
        </is>
      </c>
      <c r="C4" t="inlineStr">
        <is>
          <t>Campaign finance + bill/agenda timing + contract/benefit link + counterfactual review</t>
        </is>
      </c>
      <c r="D4" t="inlineStr">
        <is>
          <t>Do not call conflict without statutory disclosure, familial/financial tie, or official action link.</t>
        </is>
      </c>
    </row>
    <row r="5">
      <c r="A5" t="inlineStr">
        <is>
          <t>Floodplain/drainage externality</t>
        </is>
      </c>
      <c r="B5" t="inlineStr">
        <is>
          <t>No</t>
        </is>
      </c>
      <c r="C5" t="inlineStr">
        <is>
          <t>Drainage study + permits + complaints/flood records + engineering contracts</t>
        </is>
      </c>
      <c r="D5" t="inlineStr">
        <is>
          <t>Upgrade when official engineering/permit records align with reported harm.</t>
        </is>
      </c>
    </row>
    <row r="6">
      <c r="A6" t="inlineStr">
        <is>
          <t>Law enforcement/public safety</t>
        </is>
      </c>
      <c r="B6" t="inlineStr">
        <is>
          <t>No</t>
        </is>
      </c>
      <c r="C6" t="inlineStr">
        <is>
          <t>Agency release + local incident/cost records + budget/agenda tie</t>
        </is>
      </c>
      <c r="D6" t="inlineStr">
        <is>
          <t>Keep narrative separate from corruption unless budget/contract/policy link exists.</t>
        </is>
      </c>
    </row>
    <row r="7">
      <c r="A7" t="inlineStr">
        <is>
          <t>Settlement/enforcement</t>
        </is>
      </c>
      <c r="B7" t="inlineStr">
        <is>
          <t>Sometimes</t>
        </is>
      </c>
      <c r="C7" t="inlineStr">
        <is>
          <t>DOJ/AG release + docket + consent order + compliance terms</t>
        </is>
      </c>
      <c r="D7" t="inlineStr">
        <is>
          <t>Primary-source confirmed once court documents are attached.</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42" customWidth="1" min="2" max="2"/>
    <col width="34" customWidth="1" min="3" max="3"/>
    <col width="52" customWidth="1" min="4" max="4"/>
    <col width="26" customWidth="1" min="5" max="5"/>
    <col width="56" customWidth="1" min="6" max="6"/>
  </cols>
  <sheetData>
    <row r="1">
      <c r="A1" s="38" t="inlineStr">
        <is>
          <t>Queue ID</t>
        </is>
      </c>
      <c r="B1" s="38" t="inlineStr">
        <is>
          <t>Source File</t>
        </is>
      </c>
      <c r="C1" s="38" t="inlineStr">
        <is>
          <t>Target Tab</t>
        </is>
      </c>
      <c r="D1" s="38" t="inlineStr">
        <is>
          <t>Import Method</t>
        </is>
      </c>
      <c r="E1" s="38" t="inlineStr">
        <is>
          <t>Status</t>
        </is>
      </c>
      <c r="F1" s="38" t="inlineStr">
        <is>
          <t>Owner / Next Step</t>
        </is>
      </c>
    </row>
    <row r="2">
      <c r="A2" t="inlineStr">
        <is>
          <t>Q-001</t>
        </is>
      </c>
      <c r="B2" t="inlineStr">
        <is>
          <t>Liberty_Officials_Obituary_Tracker_FINAL</t>
        </is>
      </c>
      <c r="C2" t="inlineStr">
        <is>
          <t>Officials &amp; Network</t>
        </is>
      </c>
      <c r="D2" t="inlineStr">
        <is>
          <t>Import Google Sheet / xlsx rows</t>
        </is>
      </c>
      <c r="E2" t="inlineStr">
        <is>
          <t>Pending full file access</t>
        </is>
      </c>
      <c r="F2" t="inlineStr">
        <is>
          <t>Normalize official names, surnames, office type, jurisdiction, notes, source links.</t>
        </is>
      </c>
    </row>
    <row r="3">
      <c r="A3" t="inlineStr">
        <is>
          <t>Q-002</t>
        </is>
      </c>
      <c r="B3" t="inlineStr">
        <is>
          <t>colony ridge 060626 703.</t>
        </is>
      </c>
      <c r="C3" t="inlineStr">
        <is>
          <t>Visuals / Entity Logs / Property Filings</t>
        </is>
      </c>
      <c r="D3" t="inlineStr">
        <is>
          <t>Fetch full Google Doc and extract embedded tables/visual captions</t>
        </is>
      </c>
      <c r="E3" t="inlineStr">
        <is>
          <t>Pending full file access</t>
        </is>
      </c>
      <c r="F3" t="inlineStr">
        <is>
          <t>Split into entity log, property filing log, and visual proof crosswalk.</t>
        </is>
      </c>
    </row>
    <row r="4">
      <c r="A4" t="inlineStr">
        <is>
          <t>Q-003</t>
        </is>
      </c>
      <c r="B4" t="inlineStr">
        <is>
          <t>Liberty County MUD 15 Report + summaries</t>
        </is>
      </c>
      <c r="C4" t="inlineStr">
        <is>
          <t>MUD/MMD Finance &amp; Governance</t>
        </is>
      </c>
      <c r="D4" t="inlineStr">
        <is>
          <t>Extract report claims into structured rows</t>
        </is>
      </c>
      <c r="E4" t="inlineStr">
        <is>
          <t>Pending full file access</t>
        </is>
      </c>
      <c r="F4" t="inlineStr">
        <is>
          <t>Create MUD, proposition, board, bond, vendor, and election fields.</t>
        </is>
      </c>
    </row>
    <row r="5">
      <c r="A5" t="inlineStr">
        <is>
          <t>Q-004</t>
        </is>
      </c>
      <c r="B5" t="inlineStr">
        <is>
          <t>Final Investigative Report: Liberty County Corruption Nexus</t>
        </is>
      </c>
      <c r="C5" t="inlineStr">
        <is>
          <t>Findings Register</t>
        </is>
      </c>
      <c r="D5" t="inlineStr">
        <is>
          <t>Extract Part/section/finding/source into rows</t>
        </is>
      </c>
      <c r="E5" t="inlineStr">
        <is>
          <t>Pending full file access</t>
        </is>
      </c>
      <c r="F5" t="inlineStr">
        <is>
          <t>Turn narrative into claim-level evidence ledger.</t>
        </is>
      </c>
    </row>
    <row r="6">
      <c r="A6" t="inlineStr">
        <is>
          <t>Q-005</t>
        </is>
      </c>
      <c r="B6" t="inlineStr">
        <is>
          <t>Commissioners meeting notes</t>
        </is>
      </c>
      <c r="C6" t="inlineStr">
        <is>
          <t>Commissioners Actions</t>
        </is>
      </c>
      <c r="D6" t="inlineStr">
        <is>
          <t>Extract date, agenda item, motion/action, vote, vendor, amount</t>
        </is>
      </c>
      <c r="E6" t="inlineStr">
        <is>
          <t>Pending official cross-check</t>
        </is>
      </c>
      <c r="F6" t="inlineStr">
        <is>
          <t>Match notes to official agenda/minutes and video.</t>
        </is>
      </c>
    </row>
    <row r="7">
      <c r="A7" t="inlineStr">
        <is>
          <t>Q-006</t>
        </is>
      </c>
      <c r="B7" t="inlineStr">
        <is>
          <t>New agenda/media tracker</t>
        </is>
      </c>
      <c r="C7" t="inlineStr">
        <is>
          <t>Agenda &amp; Media Leads</t>
        </is>
      </c>
      <c r="D7" t="inlineStr">
        <is>
          <t>Already loaded</t>
        </is>
      </c>
      <c r="E7" t="inlineStr">
        <is>
          <t>Loaded</t>
        </is>
      </c>
      <c r="F7" t="inlineStr">
        <is>
          <t>Continue adding 2016-2026 archive rows.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26" customWidth="1" min="1" max="1"/>
    <col width="18" customWidth="1" min="2" max="2"/>
    <col width="34" customWidth="1" min="3" max="3"/>
    <col width="24" customWidth="1" min="4" max="4"/>
    <col width="34" customWidth="1" min="5" max="5"/>
    <col width="54" customWidth="1" min="6" max="6"/>
    <col width="24" customWidth="1" min="7" max="7"/>
    <col width="40" customWidth="1" min="8" max="8"/>
  </cols>
  <sheetData>
    <row r="1">
      <c r="A1" s="48" t="inlineStr">
        <is>
          <t>Person / Entity</t>
        </is>
      </c>
      <c r="B1" s="48" t="inlineStr">
        <is>
          <t>Surname</t>
        </is>
      </c>
      <c r="C1" s="48" t="inlineStr">
        <is>
          <t>Role / Office</t>
        </is>
      </c>
      <c r="D1" s="48" t="inlineStr">
        <is>
          <t>Jurisdiction</t>
        </is>
      </c>
      <c r="E1" s="48" t="inlineStr">
        <is>
          <t>Source Tracker</t>
        </is>
      </c>
      <c r="F1" s="48" t="inlineStr">
        <is>
          <t>Relationship / Note</t>
        </is>
      </c>
      <c r="G1" s="48" t="inlineStr">
        <is>
          <t>Evidence Status</t>
        </is>
      </c>
      <c r="H1" s="48" t="inlineStr">
        <is>
          <t>Source URL / Drive Ref</t>
        </is>
      </c>
    </row>
    <row r="2">
      <c r="A2" t="inlineStr">
        <is>
          <t>Jennifer Bergman Harkness</t>
        </is>
      </c>
      <c r="B2" t="inlineStr">
        <is>
          <t>Bergman</t>
        </is>
      </c>
      <c r="C2" t="inlineStr">
        <is>
          <t>District Attorney</t>
        </is>
      </c>
      <c r="D2" t="inlineStr">
        <is>
          <t>Liberty County</t>
        </is>
      </c>
      <c r="E2" t="inlineStr">
        <is>
          <t>Final Investigative Report</t>
        </is>
      </c>
      <c r="F2" t="inlineStr">
        <is>
          <t>Married to Zack Harkness; co-owner of Bergman Engineering; conflict of interest due to family firms receiving county/developer contracts.</t>
        </is>
      </c>
      <c r="G2" t="inlineStr">
        <is>
          <t>Verified / Dossier</t>
        </is>
      </c>
      <c r="H2" t="inlineStr">
        <is>
          <t>Final Investigative Report_ The Liberty County Corruption Nexus.pdf</t>
        </is>
      </c>
    </row>
    <row r="3">
      <c r="A3" t="inlineStr">
        <is>
          <t>Zack Harkness</t>
        </is>
      </c>
      <c r="B3" t="inlineStr">
        <is>
          <t>Harkness</t>
        </is>
      </c>
      <c r="C3" t="inlineStr">
        <is>
          <t>Constable Pct. 6</t>
        </is>
      </c>
      <c r="D3" t="inlineStr">
        <is>
          <t>Liberty County</t>
        </is>
      </c>
      <c r="E3" t="inlineStr">
        <is>
          <t>Final Investigative Report</t>
        </is>
      </c>
      <c r="F3" t="inlineStr">
        <is>
          <t>Married to DA Jennifer Bergman; co-owner of Bergman Engineering; selective enforcement claims in Pct 6.</t>
        </is>
      </c>
      <c r="G3" t="inlineStr">
        <is>
          <t>Verified / Dossier</t>
        </is>
      </c>
      <c r="H3" t="inlineStr">
        <is>
          <t>Final Investigative Report_ The Liberty County Corruption Nexus.pdf</t>
        </is>
      </c>
    </row>
    <row r="4">
      <c r="A4" t="inlineStr">
        <is>
          <t>Louis W. Bergman III</t>
        </is>
      </c>
      <c r="B4" t="inlineStr">
        <is>
          <t>Bergman</t>
        </is>
      </c>
      <c r="C4" t="inlineStr">
        <is>
          <t>Former County Engineer / Constable Pct. 3</t>
        </is>
      </c>
      <c r="D4" t="inlineStr">
        <is>
          <t>Liberty County</t>
        </is>
      </c>
      <c r="E4" t="inlineStr">
        <is>
          <t>Final Investigative Report</t>
        </is>
      </c>
      <c r="F4" t="inlineStr">
        <is>
          <t>Father of DA Jennifer Bergman; approved Colony Ridge initial plans; missing county engineering/drainage files.</t>
        </is>
      </c>
      <c r="G4" t="inlineStr">
        <is>
          <t>Verified / Dossier</t>
        </is>
      </c>
      <c r="H4" t="inlineStr">
        <is>
          <t>Final Investigative Report_ The Liberty County Corruption Nexus.pdf</t>
        </is>
      </c>
    </row>
    <row r="5">
      <c r="A5" t="inlineStr">
        <is>
          <t>David Hunter</t>
        </is>
      </c>
      <c r="B5" t="inlineStr">
        <is>
          <t>Hunter</t>
        </is>
      </c>
      <c r="C5" t="inlineStr">
        <is>
          <t>Constable Pct. 5</t>
        </is>
      </c>
      <c r="D5" t="inlineStr">
        <is>
          <t>Liberty County</t>
        </is>
      </c>
      <c r="E5" t="inlineStr">
        <is>
          <t>Final Investigative Report</t>
        </is>
      </c>
      <c r="F5" t="inlineStr">
        <is>
          <t>Ties to developers; donations/equipment for K-9 from Andco Rentals &amp; Liberty Paving; River incident.</t>
        </is>
      </c>
      <c r="G5" t="inlineStr">
        <is>
          <t>Verified / Dossier</t>
        </is>
      </c>
      <c r="H5" t="inlineStr">
        <is>
          <t>Final Investigative Report_ The Liberty County Corruption Nexus.pdf</t>
        </is>
      </c>
    </row>
    <row r="6">
      <c r="A6" t="inlineStr">
        <is>
          <t>John Harris</t>
        </is>
      </c>
      <c r="B6" t="inlineStr">
        <is>
          <t>Harris</t>
        </is>
      </c>
      <c r="C6" t="inlineStr">
        <is>
          <t>Co-Owner &amp; CEO Colony Ridge</t>
        </is>
      </c>
      <c r="D6" t="inlineStr">
        <is>
          <t>Private Developer</t>
        </is>
      </c>
      <c r="E6" t="inlineStr">
        <is>
          <t>Final Investigative Report</t>
        </is>
      </c>
      <c r="F6" t="inlineStr">
        <is>
          <t>Co-founder of Colony Ridge, major political donor (Gov Abbott), defendant in DOJ/CFPB and Texas AG suits.</t>
        </is>
      </c>
      <c r="G6" t="inlineStr">
        <is>
          <t>Verified / Dossier</t>
        </is>
      </c>
      <c r="H6" t="inlineStr">
        <is>
          <t>Final Investigative Report_ The Liberty County Corruption Nexus.pdf</t>
        </is>
      </c>
    </row>
    <row r="7">
      <c r="A7" t="inlineStr">
        <is>
          <t>William 'Trey' Harris</t>
        </is>
      </c>
      <c r="B7" t="inlineStr">
        <is>
          <t>Harris</t>
        </is>
      </c>
      <c r="C7" t="inlineStr">
        <is>
          <t>Co-Owner of Colony Ridge</t>
        </is>
      </c>
      <c r="D7" t="inlineStr">
        <is>
          <t>Private Developer</t>
        </is>
      </c>
      <c r="E7" t="inlineStr">
        <is>
          <t>Final Investigative Report</t>
        </is>
      </c>
      <c r="F7" t="inlineStr">
        <is>
          <t>On-site ops; former MMD #1 Board President; MMD contracts to Liberty Paving (10% ownership); early release.</t>
        </is>
      </c>
      <c r="G7" t="inlineStr">
        <is>
          <t>Verified / Dossier</t>
        </is>
      </c>
      <c r="H7" t="inlineStr">
        <is>
          <t>Final Investigative Report_ The Liberty County Corruption Nexus.pdf</t>
        </is>
      </c>
    </row>
    <row r="8">
      <c r="A8" t="inlineStr">
        <is>
          <t>Kevin Johnson</t>
        </is>
      </c>
      <c r="B8" t="inlineStr">
        <is>
          <t>Johnson</t>
        </is>
      </c>
      <c r="C8" t="inlineStr">
        <is>
          <t>Vice President TISD Board</t>
        </is>
      </c>
      <c r="D8" t="inlineStr">
        <is>
          <t>Tarkington ISD</t>
        </is>
      </c>
      <c r="E8" t="inlineStr">
        <is>
          <t>Final Investigative Report</t>
        </is>
      </c>
      <c r="F8" t="inlineStr">
        <is>
          <t>J-Con Services owner; founding member of M Club (booster non-profit); shadow budget organizer.</t>
        </is>
      </c>
      <c r="G8" t="inlineStr">
        <is>
          <t>Verified / Dossier</t>
        </is>
      </c>
      <c r="H8" t="inlineStr">
        <is>
          <t>Final Investigative Report_ The Liberty County Corruption Nexus.pdf</t>
        </is>
      </c>
    </row>
    <row r="9">
      <c r="A9" t="inlineStr">
        <is>
          <t>Susan Rollins</t>
        </is>
      </c>
      <c r="B9" t="inlineStr">
        <is>
          <t>Rollins</t>
        </is>
      </c>
      <c r="C9" t="inlineStr">
        <is>
          <t>TISD Trustee</t>
        </is>
      </c>
      <c r="D9" t="inlineStr">
        <is>
          <t>Tarkington ISD</t>
        </is>
      </c>
      <c r="E9" t="inlineStr">
        <is>
          <t>Final Investigative Report</t>
        </is>
      </c>
      <c r="F9" t="inlineStr">
        <is>
          <t>Voted on school land purchases; married to CAD Director Jimmy Rollins (conflict on tax valuation).</t>
        </is>
      </c>
      <c r="G9" t="inlineStr">
        <is>
          <t>Verified / Dossier</t>
        </is>
      </c>
      <c r="H9" t="inlineStr">
        <is>
          <t>Final Investigative Report_ The Liberty County Corruption Nexus.pdf</t>
        </is>
      </c>
    </row>
    <row r="10">
      <c r="A10" t="inlineStr">
        <is>
          <t>Jimmy Rollins</t>
        </is>
      </c>
      <c r="B10" t="inlineStr">
        <is>
          <t>Rollins</t>
        </is>
      </c>
      <c r="C10" t="inlineStr">
        <is>
          <t>CAD Board Director</t>
        </is>
      </c>
      <c r="D10" t="inlineStr">
        <is>
          <t>Liberty County</t>
        </is>
      </c>
      <c r="E10" t="inlineStr">
        <is>
          <t>Final Investigative Report</t>
        </is>
      </c>
      <c r="F10" t="inlineStr">
        <is>
          <t>Appraisal District director (property tax valuation); wife Susan is TISD trustee; M Club organizer.</t>
        </is>
      </c>
      <c r="G10" t="inlineStr">
        <is>
          <t>Verified / Dossier</t>
        </is>
      </c>
      <c r="H10" t="inlineStr">
        <is>
          <t>Final Investigative Report_ The Liberty County Corruption Nexus.pdf</t>
        </is>
      </c>
    </row>
    <row r="11">
      <c r="A11" t="inlineStr">
        <is>
          <t>Cory Anderson</t>
        </is>
      </c>
      <c r="B11" t="inlineStr">
        <is>
          <t>Anderson</t>
        </is>
      </c>
      <c r="C11" t="inlineStr">
        <is>
          <t>MUD Board Member / Former TISD Board</t>
        </is>
      </c>
      <c r="D11" t="inlineStr">
        <is>
          <t>MUD 1 / Tarkington ISD</t>
        </is>
      </c>
      <c r="E11" t="inlineStr">
        <is>
          <t>Final Investigative Report</t>
        </is>
      </c>
      <c r="F11" t="inlineStr">
        <is>
          <t>Assistant Secretary MUD 1 board; Andco, LLC co-owner; public-school/developer crossover.</t>
        </is>
      </c>
      <c r="G11" t="inlineStr">
        <is>
          <t>Verified / Dossier</t>
        </is>
      </c>
      <c r="H11" t="inlineStr">
        <is>
          <t>Final Investigative Report_ The Liberty County Corruption Nexus.pdf</t>
        </is>
      </c>
    </row>
    <row r="12">
      <c r="A12" t="inlineStr">
        <is>
          <t>Klint Bush</t>
        </is>
      </c>
      <c r="B12" t="inlineStr">
        <is>
          <t>Bush</t>
        </is>
      </c>
      <c r="C12" t="inlineStr">
        <is>
          <t>Former Elections Administrator &amp; LCHA President</t>
        </is>
      </c>
      <c r="D12" t="inlineStr">
        <is>
          <t>Liberty County</t>
        </is>
      </c>
      <c r="E12" t="inlineStr">
        <is>
          <t>LCHA / Elections Investigation</t>
        </is>
      </c>
      <c r="F12" t="inlineStr">
        <is>
          <t>Indicted in Nov 2023 for Abuse of Official Capacity and theft of LCHA funds. Re-indicted in April 2026 for Abuse of Official Capacity and theft of public funds ($150,000+). Linked to $2,000 Cypritech invoice (Tommy Brents) with no work performed. Released on PR bond.</t>
        </is>
      </c>
      <c r="G12" t="inlineStr">
        <is>
          <t>Verified / Indictments</t>
        </is>
      </c>
      <c r="H12" t="inlineStr">
        <is>
          <t>Liberty County LCHA Indictments</t>
        </is>
      </c>
    </row>
    <row r="13">
      <c r="A13" t="inlineStr">
        <is>
          <t>Mark Sjolander</t>
        </is>
      </c>
      <c r="B13" t="inlineStr">
        <is>
          <t>Sjolander</t>
        </is>
      </c>
      <c r="C13" t="inlineStr">
        <is>
          <t>Former CAD Board Member</t>
        </is>
      </c>
      <c r="D13" t="inlineStr">
        <is>
          <t>Liberty County</t>
        </is>
      </c>
      <c r="E13" t="inlineStr">
        <is>
          <t>Colony_Ridge_Consolidated_Report_Sep2025</t>
        </is>
      </c>
      <c r="F13" t="inlineStr">
        <is>
          <t>CAD member; developer-affiliated network.</t>
        </is>
      </c>
      <c r="G13" t="inlineStr">
        <is>
          <t>Verified</t>
        </is>
      </c>
      <c r="H13" t="inlineStr">
        <is>
          <t>Colony_Ridge_Consolidated_Report_Sep2025.docx</t>
        </is>
      </c>
    </row>
    <row r="14">
      <c r="A14" t="inlineStr">
        <is>
          <t>Scott Ellis</t>
        </is>
      </c>
      <c r="B14" t="inlineStr">
        <is>
          <t>Ellis</t>
        </is>
      </c>
      <c r="C14" t="inlineStr">
        <is>
          <t>Appraisal Review Board Panelist</t>
        </is>
      </c>
      <c r="D14" t="inlineStr">
        <is>
          <t>Liberty County</t>
        </is>
      </c>
      <c r="E14" t="inlineStr">
        <is>
          <t>cold_iron_report.html</t>
        </is>
      </c>
      <c r="F14" t="inlineStr">
        <is>
          <t>Central ARB panel member who evaluated the Raywood data center site values; deeply tied to R.T. Ellis Excavating, largest civil contractor handling subdivision dirt-work/utility prep.</t>
        </is>
      </c>
      <c r="G14" t="inlineStr">
        <is>
          <t>Verified / Dossier</t>
        </is>
      </c>
      <c r="H14" t="inlineStr">
        <is>
          <t>cold_iron_report.html</t>
        </is>
      </c>
    </row>
    <row r="15">
      <c r="A15" t="inlineStr">
        <is>
          <t>Heath J. Marek</t>
        </is>
      </c>
      <c r="B15" t="inlineStr">
        <is>
          <t>Marek</t>
        </is>
      </c>
      <c r="C15" t="inlineStr">
        <is>
          <t>MMD 1 Board Vice President / Sales Manager for Colony Ridge Inc.</t>
        </is>
      </c>
      <c r="D15" t="inlineStr">
        <is>
          <t>Liberty County</t>
        </is>
      </c>
      <c r="E15" t="inlineStr">
        <is>
          <t>cold_iron_report.html</t>
        </is>
      </c>
      <c r="F15" t="inlineStr">
        <is>
          <t>Sales Manager for Colony Ridge Inc. and VP of MMD 1 Board; affiliated with Marek Brothers Company LLC, which leverages active credit lines and construction liens for subdivision developments.</t>
        </is>
      </c>
      <c r="G15" t="inlineStr">
        <is>
          <t>Verified / Dossier</t>
        </is>
      </c>
      <c r="H15" t="inlineStr">
        <is>
          <t>cold_iron_report.html</t>
        </is>
      </c>
    </row>
    <row r="16">
      <c r="A16" t="inlineStr">
        <is>
          <t>Zachary Xavier Yanta</t>
        </is>
      </c>
      <c r="B16" t="inlineStr">
        <is>
          <t>Yanta</t>
        </is>
      </c>
      <c r="C16" t="inlineStr">
        <is>
          <t>Cattle Pasture Tenant</t>
        </is>
      </c>
      <c r="D16" t="inlineStr">
        <is>
          <t>Karnes County / Liberty County</t>
        </is>
      </c>
      <c r="E16" t="inlineStr">
        <is>
          <t>cold_iron_report.html</t>
        </is>
      </c>
      <c r="F16" t="inlineStr">
        <is>
          <t>Holds pasture grazing lease on 561.60-acre Raywood site to maintain its tax-shielding ag-use status. Involved in water rights litigation against Select Energy Services.</t>
        </is>
      </c>
      <c r="G16" t="inlineStr">
        <is>
          <t>Verified / Dossier</t>
        </is>
      </c>
      <c r="H16" t="inlineStr">
        <is>
          <t>cold_iron_report.html</t>
        </is>
      </c>
    </row>
    <row r="17">
      <c r="A17" t="inlineStr">
        <is>
          <t>Cynthia Silva</t>
        </is>
      </c>
      <c r="B17" t="inlineStr">
        <is>
          <t>Silva</t>
        </is>
      </c>
      <c r="C17" t="inlineStr">
        <is>
          <t>Reporter at Bluebonnet News</t>
        </is>
      </c>
      <c r="D17" t="inlineStr">
        <is>
          <t>Liberty County</t>
        </is>
      </c>
      <c r="E17" t="inlineStr">
        <is>
          <t>cold_iron_report.html</t>
        </is>
      </c>
      <c r="F17" t="inlineStr">
        <is>
          <t>Covers municipal and developer news at Bluebonnet News; family relative of Bell Silva (Credit Manager for Marek Brothers Company LLC).</t>
        </is>
      </c>
      <c r="G17" t="inlineStr">
        <is>
          <t>Verified / Dossier</t>
        </is>
      </c>
      <c r="H17" t="inlineStr">
        <is>
          <t>cold_iron_report.html</t>
        </is>
      </c>
    </row>
    <row r="18">
      <c r="A18" t="inlineStr">
        <is>
          <t>Bell Silva</t>
        </is>
      </c>
      <c r="B18" t="inlineStr">
        <is>
          <t>Silva</t>
        </is>
      </c>
      <c r="C18" t="inlineStr">
        <is>
          <t>Credit Manager for Marek Brothers Company LLC</t>
        </is>
      </c>
      <c r="D18" t="inlineStr">
        <is>
          <t>Liberty County</t>
        </is>
      </c>
      <c r="E18" t="inlineStr">
        <is>
          <t>cold_iron_report.html</t>
        </is>
      </c>
      <c r="F18" t="inlineStr">
        <is>
          <t>Functions as Credit Manager for Marek Brothers Company LLC, managing construction liens inside the clerk's registry. Relative of Cynthia Silva.</t>
        </is>
      </c>
      <c r="G18" t="inlineStr">
        <is>
          <t>Verified / Dossier</t>
        </is>
      </c>
      <c r="H18" t="inlineStr">
        <is>
          <t>cold_iron_report.html</t>
        </is>
      </c>
    </row>
    <row r="19">
      <c r="A19" t="inlineStr">
        <is>
          <t>Higher Spirit Holding LLC</t>
        </is>
      </c>
      <c r="B19" t="inlineStr">
        <is>
          <t>LLC</t>
        </is>
      </c>
      <c r="C19" t="inlineStr">
        <is>
          <t>Data Center Developer (QYK Brands)</t>
        </is>
      </c>
      <c r="D19" t="inlineStr">
        <is>
          <t>Liberty County</t>
        </is>
      </c>
      <c r="E19" t="inlineStr">
        <is>
          <t>cold_iron_report.html</t>
        </is>
      </c>
      <c r="F19" t="inlineStr">
        <is>
          <t>Purchased 561.6-acre Raywood data center site. Converted COVID-19 medical wipe production profits into long-term physical land positions.</t>
        </is>
      </c>
      <c r="G19" t="inlineStr">
        <is>
          <t>Verified / Dossier</t>
        </is>
      </c>
      <c r="H19" t="inlineStr">
        <is>
          <t>cold_iron_report.html</t>
        </is>
      </c>
    </row>
    <row r="20">
      <c r="A20" t="inlineStr">
        <is>
          <t>John C. Steffek</t>
        </is>
      </c>
      <c r="B20" t="inlineStr">
        <is>
          <t>Steffek</t>
        </is>
      </c>
      <c r="C20" t="inlineStr">
        <is>
          <t>Trustee, Steffek Trusts</t>
        </is>
      </c>
      <c r="D20" t="inlineStr">
        <is>
          <t>Harris County / Liberty County</t>
        </is>
      </c>
      <c r="E20" t="inlineStr">
        <is>
          <t>cold_iron_report.html</t>
        </is>
      </c>
      <c r="F20" t="inlineStr">
        <is>
          <t>Liquidated heritage agricultural holdings (Raywood site) to data center developers, executing complete geographic exit and routing land sale capitals into Spring personal real estate hub.</t>
        </is>
      </c>
      <c r="G20" t="inlineStr">
        <is>
          <t>Verified / Dossier</t>
        </is>
      </c>
      <c r="H20" t="inlineStr">
        <is>
          <t>cold_iron_report.html</t>
        </is>
      </c>
    </row>
    <row r="21">
      <c r="A21" t="inlineStr">
        <is>
          <t>Jason L. Steffek</t>
        </is>
      </c>
      <c r="B21" t="inlineStr">
        <is>
          <t>Steffek</t>
        </is>
      </c>
      <c r="C21" t="inlineStr">
        <is>
          <t>Trustee, Steffek Trusts</t>
        </is>
      </c>
      <c r="D21" t="inlineStr">
        <is>
          <t>Fort Bend County / Liberty County</t>
        </is>
      </c>
      <c r="E21" t="inlineStr">
        <is>
          <t>cold_iron_report.html</t>
        </is>
      </c>
      <c r="F21" t="inlineStr">
        <is>
          <t>Liquidated heritage agricultural holdings (Raywood site) to data center developers, executing complete geographic exit and routing land sale capitals into Needville personal real estate hub.</t>
        </is>
      </c>
      <c r="G21" t="inlineStr">
        <is>
          <t>Verified / Dossier</t>
        </is>
      </c>
      <c r="H21" t="inlineStr">
        <is>
          <t>cold_iron_report.html</t>
        </is>
      </c>
    </row>
    <row r="22">
      <c r="A22" t="inlineStr">
        <is>
          <t>Lt. Ramiro Lozano</t>
        </is>
      </c>
      <c r="B22" t="inlineStr">
        <is>
          <t>Lozano</t>
        </is>
      </c>
      <c r="C22" t="inlineStr">
        <is>
          <t>Lieutenant</t>
        </is>
      </c>
      <c r="D22" t="inlineStr">
        <is>
          <t>Liberty PD</t>
        </is>
      </c>
      <c r="E22" t="inlineStr">
        <is>
          <t>Lt Juan lozano.txt</t>
        </is>
      </c>
      <c r="F22" t="inlineStr">
        <is>
          <t>Suspended in October 2025 and investigated by Texas Rangers for unauthorized jail visits to murder defendant Domingo Quintana and performing database queries for private business interests (Monarquias Magnolia LLC).</t>
        </is>
      </c>
      <c r="G22" t="inlineStr">
        <is>
          <t>Suspended / Under Investigation</t>
        </is>
      </c>
      <c r="H22" t="inlineStr">
        <is>
          <t>Lt Juan lozano.jpg</t>
        </is>
      </c>
    </row>
    <row r="23">
      <c r="A23" t="inlineStr">
        <is>
          <t>Cesar Javier Garcia</t>
        </is>
      </c>
      <c r="B23" t="inlineStr">
        <is>
          <t>Garcia</t>
        </is>
      </c>
      <c r="C23" t="inlineStr">
        <is>
          <t>Convicted Drug Trafficker / Associate</t>
        </is>
      </c>
      <c r="D23" t="inlineStr">
        <is>
          <t>Federal / Liberty County</t>
        </is>
      </c>
      <c r="E23" t="inlineStr">
        <is>
          <t>dudley liberty.txt</t>
        </is>
      </c>
      <c r="F23" t="inlineStr">
        <is>
          <t>Transferred 511 Dudley Rd to Constable Zack Harkness via vendor lien. Partnered with Lozano family in Monarquias Magnolia LLC based at 10712 Thomas T Trail.</t>
        </is>
      </c>
      <c r="G23" t="inlineStr">
        <is>
          <t>Federal Clemency Recipient</t>
        </is>
      </c>
      <c r="H23" t="inlineStr">
        <is>
          <t>dudley liberty.jpg</t>
        </is>
      </c>
    </row>
    <row r="24">
      <c r="A24" t="inlineStr">
        <is>
          <t>Walter Allen Dean</t>
        </is>
      </c>
      <c r="B24" t="inlineStr">
        <is>
          <t>Dean</t>
        </is>
      </c>
      <c r="C24" t="inlineStr">
        <is>
          <t>Managing Member</t>
        </is>
      </c>
      <c r="D24" t="inlineStr">
        <is>
          <t>Dudley Estate 1938 LLC / Private</t>
        </is>
      </c>
      <c r="E24" t="inlineStr">
        <is>
          <t>dudley liberty.txt</t>
        </is>
      </c>
      <c r="F24" t="inlineStr">
        <is>
          <t>Financial conduit for Dudley Estate 1938 LLC, which shares an address (10712 Thomas T Trail) with Monarquias Magnolia LLC. Signed assignment of rents for 511 Dudley St to Southside Bank.</t>
        </is>
      </c>
      <c r="G24" t="inlineStr">
        <is>
          <t>Verified Conduit</t>
        </is>
      </c>
      <c r="H24" t="inlineStr">
        <is>
          <t>dudley liberty.jpg</t>
        </is>
      </c>
    </row>
    <row r="25">
      <c r="A25" t="inlineStr">
        <is>
          <t>Domingo Veloz Quintana</t>
        </is>
      </c>
      <c r="B25" t="inlineStr">
        <is>
          <t>Quintana</t>
        </is>
      </c>
      <c r="C25" t="inlineStr">
        <is>
          <t>Capital Murder Defendant</t>
        </is>
      </c>
      <c r="D25" t="inlineStr">
        <is>
          <t>Liberty County Courts</t>
        </is>
      </c>
      <c r="E25" t="inlineStr">
        <is>
          <t>quintana deed.txt</t>
        </is>
      </c>
      <c r="F25" t="inlineStr">
        <is>
          <t>Capital murder inmate whose case began on FM 1008. Subject of unauthorized database queries and jail visits by suspended PD Lieutenant Ramiro Lozano.</t>
        </is>
      </c>
      <c r="G25" t="inlineStr">
        <is>
          <t>Incarcerated / Pending Trial</t>
        </is>
      </c>
      <c r="H25" t="inlineStr">
        <is>
          <t>quintana deed.jpg</t>
        </is>
      </c>
    </row>
    <row r="26">
      <c r="A26" t="inlineStr">
        <is>
          <t>Jessica C. Quintana</t>
        </is>
      </c>
      <c r="B26" t="inlineStr">
        <is>
          <t>Quintana</t>
        </is>
      </c>
      <c r="C26" t="inlineStr">
        <is>
          <t>Landowner / Resident</t>
        </is>
      </c>
      <c r="D26" t="inlineStr">
        <is>
          <t>Dayton / Harris County</t>
        </is>
      </c>
      <c r="E26" t="inlineStr">
        <is>
          <t>quintana Harris.txt</t>
        </is>
      </c>
      <c r="F26" t="inlineStr">
        <is>
          <t>Assessed owner of 7514 Waxahachie St subject to tax sale property information. Resides at 9150 FM 1008 in Dayton, TX, in the heart of developer land holdings.</t>
        </is>
      </c>
      <c r="G26" t="inlineStr">
        <is>
          <t>Public Records Match</t>
        </is>
      </c>
      <c r="H26" t="inlineStr">
        <is>
          <t>quintana Harris.jpg</t>
        </is>
      </c>
    </row>
    <row r="27">
      <c r="A27" t="inlineStr">
        <is>
          <t>Emily Kebodeaux Cook</t>
        </is>
      </c>
      <c r="B27" t="inlineStr">
        <is>
          <t>Cook</t>
        </is>
      </c>
      <c r="C27" t="inlineStr">
        <is>
          <t>Former LCHA Commissioner / CAD Board Member / Partner, Chandler, Cook &amp; Fitzgerald</t>
        </is>
      </c>
      <c r="D27" t="inlineStr">
        <is>
          <t>Liberty County</t>
        </is>
      </c>
      <c r="E27" t="inlineStr">
        <is>
          <t>LCHA Investigation</t>
        </is>
      </c>
      <c r="F27" t="inlineStr">
        <is>
          <t>Indicted in March 2026 for misapplication of fiduciary property related to LCHA funds. Barred from CAD financial roles and LCHA accounts as bond condition. Announced 2028 run for DA.</t>
        </is>
      </c>
      <c r="G27" t="inlineStr">
        <is>
          <t>Verified / Indictment</t>
        </is>
      </c>
      <c r="H27" t="inlineStr">
        <is>
          <t>Liberty County LCHA Indictments</t>
        </is>
      </c>
    </row>
    <row r="28">
      <c r="A28" t="inlineStr">
        <is>
          <t>Tommy Brents</t>
        </is>
      </c>
      <c r="B28" t="inlineStr">
        <is>
          <t>Brents</t>
        </is>
      </c>
      <c r="C28" t="inlineStr">
        <is>
          <t>Liberty Mayoral Candidate / Former Councilman &amp; Mayor Pro Tem</t>
        </is>
      </c>
      <c r="D28" t="inlineStr">
        <is>
          <t>Liberty County</t>
        </is>
      </c>
      <c r="E28" t="inlineStr">
        <is>
          <t>LCHA Investigation</t>
        </is>
      </c>
      <c r="F28" t="inlineStr">
        <is>
          <t>Linked to Klint Bush April 2026 indictment for receiving a $2,000 "IT consulting" payment via Cypritech for work allegedly not performed.</t>
        </is>
      </c>
      <c r="G28" t="inlineStr">
        <is>
          <t>Verified / Docket</t>
        </is>
      </c>
      <c r="H28" t="inlineStr">
        <is>
          <t>Liberty County LCHA Indictments</t>
        </is>
      </c>
    </row>
    <row r="29">
      <c r="A29" t="inlineStr">
        <is>
          <t>Jason Grindstaff</t>
        </is>
      </c>
      <c r="B29" t="inlineStr">
        <is>
          <t>Grindstaff</t>
        </is>
      </c>
      <c r="C29" t="inlineStr">
        <is>
          <t>Former Liberty Police Officer</t>
        </is>
      </c>
      <c r="D29" t="inlineStr">
        <is>
          <t>Liberty County</t>
        </is>
      </c>
      <c r="E29" t="inlineStr">
        <is>
          <t>Texas Rangers Investigation</t>
        </is>
      </c>
      <c r="F29" t="inlineStr">
        <is>
          <t>Indicted and surrendered on July 3, 2026, for official oppression and indecent assault.</t>
        </is>
      </c>
      <c r="G29" t="inlineStr">
        <is>
          <t>Verified / Arrest</t>
        </is>
      </c>
      <c r="H29" t="inlineStr">
        <is>
          <t>Liberty Police Indictments</t>
        </is>
      </c>
    </row>
    <row r="30">
      <c r="A30" t="inlineStr">
        <is>
          <t>Liberty PD Officer (Unnamed)</t>
        </is>
      </c>
      <c r="B30" t="inlineStr">
        <is>
          <t>Unnamed</t>
        </is>
      </c>
      <c r="C30" t="inlineStr">
        <is>
          <t>Liberty Police Officer</t>
        </is>
      </c>
      <c r="D30" t="inlineStr">
        <is>
          <t>Liberty County</t>
        </is>
      </c>
      <c r="E30" t="inlineStr">
        <is>
          <t>DPS Investigation</t>
        </is>
      </c>
      <c r="F30" t="inlineStr">
        <is>
          <t>Involved in a November 20, 2025 auto-pedestrian accident where their patrol vehicle's side-view mirror struck a pedestrian in the early morning hours. Subject of an independent Texas DPS crash investigation and subsequent internal City disciplinary action.</t>
        </is>
      </c>
      <c r="G30" t="inlineStr">
        <is>
          <t>Disciplined</t>
        </is>
      </c>
      <c r="H30" t="inlineStr">
        <is>
          <t>City of Liberty Official Statement</t>
        </is>
      </c>
    </row>
    <row r="31">
      <c r="A31" t="inlineStr">
        <is>
          <t>Lt. Ramiro Lozano</t>
        </is>
      </c>
      <c r="B31" t="inlineStr">
        <is>
          <t>Lozano</t>
        </is>
      </c>
      <c r="C31" t="inlineStr">
        <is>
          <t>Former Liberty PD Lieutenant</t>
        </is>
      </c>
      <c r="D31" t="inlineStr">
        <is>
          <t>Liberty County</t>
        </is>
      </c>
      <c r="E31" t="inlineStr">
        <is>
          <t>Texas Rangers Investigation</t>
        </is>
      </c>
      <c r="F31" t="inlineStr">
        <is>
          <t>Terminated in November 2025 following a Texas Rangers investigation into allegations of unauthorized jail access to Domingo Quintana in the Liberty County Jail.</t>
        </is>
      </c>
      <c r="G31" t="inlineStr">
        <is>
          <t>Terminated</t>
        </is>
      </c>
      <c r="H31" t="inlineStr">
        <is>
          <t>Liberty County Jail Records / Texas Rangers</t>
        </is>
      </c>
    </row>
    <row r="32">
      <c r="A32" t="inlineStr">
        <is>
          <t>Cedric McDuffie</t>
        </is>
      </c>
      <c r="B32" t="inlineStr">
        <is>
          <t>McDuffie</t>
        </is>
      </c>
      <c r="C32" t="inlineStr">
        <is>
          <t>Former Liberty PD Lieutenant</t>
        </is>
      </c>
      <c r="D32" t="inlineStr">
        <is>
          <t>Liberty County</t>
        </is>
      </c>
      <c r="E32" t="inlineStr">
        <is>
          <t>Personnel Registry</t>
        </is>
      </c>
      <c r="F32" t="inlineStr">
        <is>
          <t>Former Lieutenant with the Liberty Police Department and Deputy with the Liberty County Constable's Office; later transitioned to Sergeant with the Shenandoah Police Department.</t>
        </is>
      </c>
      <c r="G32" t="inlineStr">
        <is>
          <t>Active / Relocated</t>
        </is>
      </c>
      <c r="H32" t="inlineStr">
        <is>
          <t>Liberty Police Department Personnel Records</t>
        </is>
      </c>
    </row>
    <row r="33">
      <c r="A33" t="inlineStr">
        <is>
          <t>Aimee Lamb</t>
        </is>
      </c>
      <c r="B33" t="inlineStr">
        <is>
          <t>Lamb</t>
        </is>
      </c>
      <c r="C33" t="inlineStr">
        <is>
          <t>Local Resident / Parent Advocate</t>
        </is>
      </c>
      <c r="D33" t="inlineStr">
        <is>
          <t>Tarkington ISD</t>
        </is>
      </c>
      <c r="E33" t="inlineStr">
        <is>
          <t>Screenshot_20260310_aimeelamb_Messenger.jpg</t>
        </is>
      </c>
      <c r="F33" t="inlineStr">
        <is>
          <t>Advocate for teachers and students in Tarkington ISD who was targeted and silenced using a private voice recording from a work event.</t>
        </is>
      </c>
      <c r="G33" t="inlineStr">
        <is>
          <t>Verified Social Media</t>
        </is>
      </c>
      <c r="H33" t="inlineStr">
        <is>
          <t>Screenshot_20260310_aimeelamb_Messenger.jpg</t>
        </is>
      </c>
    </row>
    <row r="34">
      <c r="A34" t="inlineStr">
        <is>
          <t>Concerned Parents of Tarkington ISD</t>
        </is>
      </c>
      <c r="B34" t="inlineStr">
        <is>
          <t>Concerned Parents</t>
        </is>
      </c>
      <c r="C34" t="inlineStr">
        <is>
          <t>Advocacy Group</t>
        </is>
      </c>
      <c r="D34" t="inlineStr">
        <is>
          <t>Tarkington ISD</t>
        </is>
      </c>
      <c r="E34" t="inlineStr">
        <is>
          <t>Screenshot_20260310_aimeelamb_Messenger.jpg</t>
        </is>
      </c>
      <c r="F34" t="inlineStr">
        <is>
          <t>Public facebook forum used by parents to oppose administrative overreach and highlight intimidation tactics used by school board associates.</t>
        </is>
      </c>
      <c r="G34" t="inlineStr">
        <is>
          <t>Verified Social Media</t>
        </is>
      </c>
      <c r="H34" t="inlineStr">
        <is>
          <t>Screenshot_20260310_aimeelamb_Messenger.jpg</t>
        </is>
      </c>
    </row>
    <row r="35">
      <c r="A35" t="inlineStr">
        <is>
          <t>Dawn Mangum Casey</t>
        </is>
      </c>
      <c r="B35" t="inlineStr">
        <is>
          <t>Casey</t>
        </is>
      </c>
      <c r="C35" t="inlineStr">
        <is>
          <t>Resident Organizer</t>
        </is>
      </c>
      <c r="D35" t="inlineStr">
        <is>
          <t>Raywood / Liberty County</t>
        </is>
      </c>
      <c r="E35" t="inlineStr">
        <is>
          <t>Screenshot_20260602_010243_Facebook.jpg</t>
        </is>
      </c>
      <c r="F35" t="inlineStr">
        <is>
          <t>Organized public protests and filed formal opposition against the proposed Raywood concrete batch plant and data center projects.</t>
        </is>
      </c>
      <c r="G35" t="inlineStr">
        <is>
          <t>Verified Social Media</t>
        </is>
      </c>
      <c r="H35" t="inlineStr">
        <is>
          <t>Screenshot_20260602_010243_Facebook.jpg</t>
        </is>
      </c>
    </row>
    <row r="36">
      <c r="A36" t="inlineStr">
        <is>
          <t>Lisa Hilton Noble</t>
        </is>
      </c>
      <c r="B36" t="inlineStr">
        <is>
          <t>Noble</t>
        </is>
      </c>
      <c r="C36" t="inlineStr">
        <is>
          <t>Local Critic / Resident</t>
        </is>
      </c>
      <c r="D36" t="inlineStr">
        <is>
          <t>Raywood / Liberty County</t>
        </is>
      </c>
      <c r="E36" t="inlineStr">
        <is>
          <t>Screenshot_20260602_010243_Facebook.jpg</t>
        </is>
      </c>
      <c r="F36" t="inlineStr">
        <is>
          <t>Public commenter criticizing Liberty County officials for failing to regulate commercial expansions in Cleveland and Raywood.</t>
        </is>
      </c>
      <c r="G36" t="inlineStr">
        <is>
          <t>Verified Social Media</t>
        </is>
      </c>
      <c r="H36" t="inlineStr">
        <is>
          <t>Screenshot_20260602_010243_Facebook.jpg</t>
        </is>
      </c>
    </row>
    <row r="37">
      <c r="A37" t="inlineStr">
        <is>
          <t>Lizzy Hegar</t>
        </is>
      </c>
      <c r="B37" t="inlineStr">
        <is>
          <t>Hegar</t>
        </is>
      </c>
      <c r="C37" t="inlineStr">
        <is>
          <t>Local Critic / Resident</t>
        </is>
      </c>
      <c r="D37" t="inlineStr">
        <is>
          <t>Liberty County</t>
        </is>
      </c>
      <c r="E37" t="inlineStr">
        <is>
          <t>Screenshot_20260602_010243_Facebook.jpg</t>
        </is>
      </c>
      <c r="F37" t="inlineStr">
        <is>
          <t>Advocated for legal action against unregulated developer facilities by researching successful lawsuits in adjacent Texas counties.</t>
        </is>
      </c>
      <c r="G37" t="inlineStr">
        <is>
          <t>Verified Social Media</t>
        </is>
      </c>
      <c r="H37" t="inlineStr">
        <is>
          <t>Screenshot_20260602_010243_Facebook.jpg</t>
        </is>
      </c>
    </row>
    <row r="38">
      <c r="A38" t="inlineStr">
        <is>
          <t>Tarkington Student Foundation</t>
        </is>
      </c>
      <c r="B38" t="inlineStr">
        <is>
          <t>Foundation</t>
        </is>
      </c>
      <c r="C38" t="inlineStr">
        <is>
          <t>Scholarship Non-Profit</t>
        </is>
      </c>
      <c r="D38" t="inlineStr">
        <is>
          <t>Tarkington ISD</t>
        </is>
      </c>
      <c r="E38" t="inlineStr">
        <is>
          <t>studentfoundation.jpg</t>
        </is>
      </c>
      <c r="F38" t="inlineStr">
        <is>
          <t>Non-profit foundation linked to Tarkington ISD. Minutes from March 9, 2026 show the TISD Board formalizing a board seat on this entity, indicating crossover control.</t>
        </is>
      </c>
      <c r="G38" t="inlineStr">
        <is>
          <t>Verified Minutes</t>
        </is>
      </c>
      <c r="H38" t="inlineStr">
        <is>
          <t>studentfoundation.jpg</t>
        </is>
      </c>
    </row>
    <row r="39">
      <c r="A39" t="inlineStr">
        <is>
          <t>Max Energy X-Cell, LLC</t>
        </is>
      </c>
      <c r="B39" t="inlineStr">
        <is>
          <t>Max Energy</t>
        </is>
      </c>
      <c r="C39" t="inlineStr">
        <is>
          <t>Corporate Entity</t>
        </is>
      </c>
      <c r="D39" t="inlineStr">
        <is>
          <t>Liberty County</t>
        </is>
      </c>
      <c r="E39" t="inlineStr">
        <is>
          <t>rollinsnwtwork.jpg</t>
        </is>
      </c>
      <c r="F39" t="inlineStr">
        <is>
          <t>Central entity in the Rollins family commercial network. Connected to Jimmy Rollins, Susan Wood-Rollins, and Tammy Hubier.</t>
        </is>
      </c>
      <c r="G39" t="inlineStr">
        <is>
          <t>Verified Corporate Graph</t>
        </is>
      </c>
      <c r="H39" t="inlineStr">
        <is>
          <t>rollinsnwtwork.jpg</t>
        </is>
      </c>
    </row>
    <row r="40">
      <c r="A40" t="inlineStr">
        <is>
          <t>J. Rollins Construction, Inc.</t>
        </is>
      </c>
      <c r="B40" t="inlineStr">
        <is>
          <t>Rollins Construction</t>
        </is>
      </c>
      <c r="C40" t="inlineStr">
        <is>
          <t>Corporate Entity</t>
        </is>
      </c>
      <c r="D40" t="inlineStr">
        <is>
          <t>Liberty County</t>
        </is>
      </c>
      <c r="E40" t="inlineStr">
        <is>
          <t>rollinsnwtwork.jpg</t>
        </is>
      </c>
      <c r="F40" t="inlineStr">
        <is>
          <t>Commercial construction company owned by CAD Director Jimmy Rollins, demonstrating business capacity overlapping with property valuation roles.</t>
        </is>
      </c>
      <c r="G40" t="inlineStr">
        <is>
          <t>Verified Corporate Graph</t>
        </is>
      </c>
      <c r="H40" t="inlineStr">
        <is>
          <t>rollinsnwtwork.jpg</t>
        </is>
      </c>
    </row>
    <row r="41">
      <c r="A41" t="inlineStr">
        <is>
          <t>Tammy T. Hubier</t>
        </is>
      </c>
      <c r="B41" t="inlineStr">
        <is>
          <t>Hubier</t>
        </is>
      </c>
      <c r="C41" t="inlineStr">
        <is>
          <t>Business Associate</t>
        </is>
      </c>
      <c r="D41" t="inlineStr">
        <is>
          <t>Liberty County</t>
        </is>
      </c>
      <c r="E41" t="inlineStr">
        <is>
          <t>rollinsnwtwork.jpg</t>
        </is>
      </c>
      <c r="F41" t="inlineStr">
        <is>
          <t>Associated with Jimmy Rollins and Max Energy X-Cell, LLC in the Rollins business network.</t>
        </is>
      </c>
      <c r="G41" t="inlineStr">
        <is>
          <t>Verified Corporate Graph</t>
        </is>
      </c>
      <c r="H41" t="inlineStr">
        <is>
          <t>rollinsnwtwork.jpg</t>
        </is>
      </c>
    </row>
    <row r="42">
      <c r="A42" t="inlineStr">
        <is>
          <t>SPATCO Energy Solutions</t>
        </is>
      </c>
      <c r="B42" t="inlineStr">
        <is>
          <t>SPATCO</t>
        </is>
      </c>
      <c r="C42" t="inlineStr">
        <is>
          <t>Acquirer Company</t>
        </is>
      </c>
      <c r="D42" t="inlineStr">
        <is>
          <t>National / Texas</t>
        </is>
      </c>
      <c r="E42" t="inlineStr">
        <is>
          <t>rollins excell llc.jpg</t>
        </is>
      </c>
      <c r="F42" t="inlineStr">
        <is>
          <t>National fueling contractor that acquired TISD Trustee Susan Rollins' Excell Fueling Systems in September 2025.</t>
        </is>
      </c>
      <c r="G42" t="inlineStr">
        <is>
          <t>Verified Media Release</t>
        </is>
      </c>
      <c r="H42" t="inlineStr">
        <is>
          <t>rollins excell llc.jpg</t>
        </is>
      </c>
    </row>
    <row r="43">
      <c r="A43" t="inlineStr">
        <is>
          <t>Kian Capital</t>
        </is>
      </c>
      <c r="B43" t="inlineStr">
        <is>
          <t>Kian</t>
        </is>
      </c>
      <c r="C43" t="inlineStr">
        <is>
          <t>Private Equity Firm</t>
        </is>
      </c>
      <c r="D43" t="inlineStr">
        <is>
          <t>National</t>
        </is>
      </c>
      <c r="E43" t="inlineStr">
        <is>
          <t>rollins excell llc.jpg</t>
        </is>
      </c>
      <c r="F43" t="inlineStr">
        <is>
          <t>Financial backer of SPATCO Energy Solutions, linking institutional capital to local TISD board construction interests.</t>
        </is>
      </c>
      <c r="G43" t="inlineStr">
        <is>
          <t>Verified Media Release</t>
        </is>
      </c>
      <c r="H43" t="inlineStr">
        <is>
          <t>rollins excell llc.jpg</t>
        </is>
      </c>
    </row>
    <row r="44">
      <c r="A44" t="inlineStr">
        <is>
          <t>Vast Land Enterprise LLC</t>
        </is>
      </c>
      <c r="B44" t="inlineStr">
        <is>
          <t>Vast Land</t>
        </is>
      </c>
      <c r="C44" t="inlineStr">
        <is>
          <t>Developer Entity</t>
        </is>
      </c>
      <c r="D44" t="inlineStr">
        <is>
          <t>Liberty County</t>
        </is>
      </c>
      <c r="E44" t="inlineStr">
        <is>
          <t>quintana deed2.jpg</t>
        </is>
      </c>
      <c r="F44" t="inlineStr">
        <is>
          <t>Development company that partnered with Colony Ridge Land LLC in executing trustee deeds and transfers involving various Quintana family members.</t>
        </is>
      </c>
      <c r="G44" t="inlineStr">
        <is>
          <t>Verified Deeds</t>
        </is>
      </c>
      <c r="H44" t="inlineStr">
        <is>
          <t>quintana deed2.jpg</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2026-07-02T01:14:20Z</dcterms:created>
  <dcterms:modified xmlns:dcterms="http://purl.org/dc/terms/" xmlns:xsi="http://www.w3.org/2001/XMLSchema-instance" xsi:type="dcterms:W3CDTF">2026-07-05T21:08:32Z</dcterms:modified>
</cp:coreProperties>
</file>