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Agenda Tracker" sheetId="2" state="visible" r:id="rId2"/>
    <sheet xmlns:r="http://schemas.openxmlformats.org/officeDocument/2006/relationships" name="Sources Reviewed" sheetId="3" state="visible" r:id="rId3"/>
    <sheet xmlns:r="http://schemas.openxmlformats.org/officeDocument/2006/relationships" name="Validation Matrix" sheetId="4" state="visible" r:id="rId4"/>
    <sheet xmlns:r="http://schemas.openxmlformats.org/officeDocument/2006/relationships" name="Search Log" sheetId="5" state="visible" r:id="rId5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rlito"/>
      <sz val="11"/>
    </font>
    <font>
      <name val="Carlito"/>
      <b val="1"/>
      <color rgb="00FFFFFF"/>
      <sz val="16"/>
    </font>
    <font>
      <name val="Carlito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0F766E"/>
      </patternFill>
    </fill>
    <fill>
      <patternFill patternType="solid">
        <fgColor rgb="007C2D12"/>
      </patternFill>
    </fill>
    <fill>
      <patternFill patternType="solid">
        <fgColor rgb="001D4ED8"/>
      </patternFill>
    </fill>
  </fills>
  <borders count="2">
    <border/>
    <border/>
  </borders>
  <cellStyleXfs count="1">
    <xf numFmtId="0" fontId="0" fillId="0" borderId="1"/>
  </cellStyleXfs>
  <cellXfs count="43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wrapText="1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horizontal="center"/>
    </xf>
    <xf numFmtId="0" fontId="0" fillId="4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horizontal="center"/>
    </xf>
    <xf numFmtId="0" fontId="2" fillId="4" borderId="0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0" fillId="5" borderId="0" pivotButton="0" quotePrefix="0" xfId="0"/>
    <xf numFmtId="0" fontId="2" fillId="5" borderId="0" pivotButton="0" quotePrefix="0" xfId="0"/>
    <xf numFmtId="0" fontId="0" fillId="5" borderId="1" pivotButton="0" quotePrefix="0" xfId="0"/>
    <xf numFmtId="0" fontId="2" fillId="5" borderId="1" pivotButton="0" quotePrefix="0" xfId="0"/>
    <xf numFmtId="0" fontId="2" fillId="5" borderId="0" applyAlignment="1" pivotButton="0" quotePrefix="0" xfId="0">
      <alignment wrapText="1"/>
    </xf>
    <xf numFmtId="0" fontId="2" fillId="5" borderId="1" applyAlignment="1" pivotButton="0" quotePrefix="0" xfId="0">
      <alignment wrapText="1"/>
    </xf>
    <xf numFmtId="0" fontId="0" fillId="6" borderId="0" pivotButton="0" quotePrefix="0" xfId="0"/>
    <xf numFmtId="0" fontId="2" fillId="6" borderId="0" pivotButton="0" quotePrefix="0" xfId="0"/>
    <xf numFmtId="0" fontId="0" fillId="6" borderId="1" pivotButton="0" quotePrefix="0" xfId="0"/>
    <xf numFmtId="0" fontId="2" fillId="6" borderId="1" pivotButton="0" quotePrefix="0" xfId="0"/>
    <xf numFmtId="0" fontId="2" fillId="6" borderId="0" applyAlignment="1" pivotButton="0" quotePrefix="0" xfId="0">
      <alignment wrapText="1"/>
    </xf>
    <xf numFmtId="0" fontId="2" fillId="6" borderId="1" applyAlignment="1" pivotButton="0" quotePrefix="0" xfId="0">
      <alignment wrapText="1"/>
    </xf>
    <xf numFmtId="164" fontId="0" fillId="0" borderId="0" pivotButton="0" quotePrefix="0" xfId="0"/>
    <xf numFmtId="164" fontId="0" fillId="0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/>
  </cellStyles>
  <dxfs count="2">
    <dxf>
      <font>
        <b val="1"/>
        <color rgb="00B91C1C"/>
      </font>
    </dxf>
    <dxf>
      <font>
        <b val="1"/>
        <color rgb="00B45309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AgendaTrackerTable" displayName="AgendaTrackerTable" ref="A1:M17" headerRowCount="1">
  <tableColumns count="13">
    <tableColumn id="1" name="ID"/>
    <tableColumn id="2" name="Source Outlet"/>
    <tableColumn id="3" name="Published / Event Date"/>
    <tableColumn id="4" name="Title / Record"/>
    <tableColumn id="5" name="Issue Lane"/>
    <tableColumn id="6" name="Entities / Offices Mentioned"/>
    <tableColumn id="7" name="Agenda / Decision Hook"/>
    <tableColumn id="8" name="Pattern Tag"/>
    <tableColumn id="9" name="Evidence Status"/>
    <tableColumn id="10" name="Priority"/>
    <tableColumn id="11" name="Follow-up Record Needed"/>
    <tableColumn id="12" name="Source URL"/>
    <tableColumn id="13" name="Notes"/>
  </tableColumns>
  <tableStyleInfo name="TableStyleMedium2" showRowStripes="1"/>
</table>
</file>

<file path=xl/tables/table2.xml><?xml version="1.0" encoding="utf-8"?>
<table xmlns="http://schemas.openxmlformats.org/spreadsheetml/2006/main" id="2" name="SourcesReviewedTable" displayName="SourcesReviewedTable" ref="A1:D7" headerRowCount="1">
  <tableColumns count="4">
    <tableColumn id="1" name="Source"/>
    <tableColumn id="2" name="Role in Tracker"/>
    <tableColumn id="3" name="Priority"/>
    <tableColumn id="4" name="Notes"/>
  </tableColumns>
  <tableStyleInfo name="TableStyleMedium2" showRowStripes="1"/>
</table>
</file>

<file path=xl/tables/table3.xml><?xml version="1.0" encoding="utf-8"?>
<table xmlns="http://schemas.openxmlformats.org/spreadsheetml/2006/main" id="3" name="ValidationMatrixTable" displayName="ValidationMatrixTable" ref="A1:D7" headerRowCount="1">
  <tableColumns count="4">
    <tableColumn id="1" name="Pattern"/>
    <tableColumn id="2" name="Media Lead Alone Is Enough?"/>
    <tableColumn id="3" name="Minimum Confirmation Package"/>
    <tableColumn id="4" name="Upgrade Rule"/>
  </tableColumns>
  <tableStyleInfo name="TableStyleMedium2" showRowStripes="1"/>
</table>
</file>

<file path=xl/tables/table4.xml><?xml version="1.0" encoding="utf-8"?>
<table xmlns="http://schemas.openxmlformats.org/spreadsheetml/2006/main" id="4" name="SearchLogTable" displayName="SearchLogTable" ref="A1:E3" headerRowCount="1">
  <tableColumns count="5">
    <tableColumn id="1" name="Run Date"/>
    <tableColumn id="2" name="Search Set"/>
    <tableColumn id="3" name="Sources Included"/>
    <tableColumn id="4" name="Result"/>
    <tableColumn id="5" name="Gap / Limitation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6" t="inlineStr">
        <is>
          <t>Liberty County / Colony Ridge Political Agenda Tracking Dashboard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2" t="n"/>
      <c r="B2" s="12" t="n"/>
      <c r="C2" s="12" t="n"/>
      <c r="D2" s="12" t="n"/>
      <c r="E2" s="12" t="n"/>
      <c r="F2" s="12" t="n"/>
      <c r="G2" s="12" t="n"/>
      <c r="H2" s="12" t="n"/>
    </row>
    <row r="3">
      <c r="A3" s="15" t="inlineStr">
        <is>
          <t>Metric</t>
        </is>
      </c>
      <c r="B3" s="15" t="inlineStr">
        <is>
          <t>Value</t>
        </is>
      </c>
      <c r="C3" s="12" t="n"/>
      <c r="D3" s="12" t="n"/>
      <c r="E3" s="12" t="n"/>
      <c r="F3" s="12" t="n"/>
      <c r="G3" s="12" t="n"/>
      <c r="H3" s="12" t="n"/>
    </row>
    <row r="4">
      <c r="A4" s="12" t="inlineStr">
        <is>
          <t>Tracked leads</t>
        </is>
      </c>
      <c r="B4" s="12">
        <f>COUNTA('Agenda Tracker'!A2:A500)</f>
        <v/>
      </c>
      <c r="C4" s="12" t="n"/>
      <c r="D4" s="12" t="n"/>
      <c r="E4" s="12" t="n"/>
      <c r="F4" s="12" t="n"/>
      <c r="G4" s="12" t="n"/>
      <c r="H4" s="12" t="n"/>
    </row>
    <row r="5">
      <c r="A5" s="12" t="inlineStr">
        <is>
          <t>Critical priority</t>
        </is>
      </c>
      <c r="B5" s="12">
        <f>COUNTIF('Agenda Tracker'!J2:J200,"Critical")</f>
        <v/>
      </c>
      <c r="C5" s="12" t="n"/>
      <c r="D5" s="12" t="n"/>
      <c r="E5" s="12" t="n"/>
      <c r="F5" s="12" t="n"/>
      <c r="G5" s="12" t="n"/>
      <c r="H5" s="12" t="n"/>
    </row>
    <row r="6">
      <c r="A6" s="12" t="inlineStr">
        <is>
          <t>High priority</t>
        </is>
      </c>
      <c r="B6" s="12">
        <f>COUNTIF('Agenda Tracker'!J2:J200,"High")</f>
        <v/>
      </c>
      <c r="C6" s="12" t="n"/>
      <c r="D6" s="12" t="n"/>
      <c r="E6" s="12" t="n"/>
      <c r="F6" s="12" t="n"/>
      <c r="G6" s="12" t="n"/>
      <c r="H6" s="12" t="n"/>
    </row>
    <row r="7">
      <c r="A7" s="12" t="inlineStr">
        <is>
          <t>Primary-source rows</t>
        </is>
      </c>
      <c r="B7" s="12">
        <f>COUNTIF('Agenda Tracker'!I2:I200,"Primary-source*")</f>
        <v/>
      </c>
      <c r="C7" s="12" t="n"/>
      <c r="D7" s="12" t="n"/>
      <c r="E7" s="12" t="n"/>
      <c r="F7" s="12" t="n"/>
      <c r="G7" s="12" t="n"/>
      <c r="H7" s="12" t="n"/>
    </row>
    <row r="8">
      <c r="A8" s="12" t="inlineStr">
        <is>
          <t>Public-source findings</t>
        </is>
      </c>
      <c r="B8" s="12">
        <f>COUNTIF('Agenda Tracker'!I2:I200,"Public-source finding")</f>
        <v/>
      </c>
      <c r="C8" s="12" t="n"/>
      <c r="D8" s="12" t="n"/>
      <c r="E8" s="12" t="n"/>
      <c r="F8" s="12" t="n"/>
      <c r="G8" s="12" t="n"/>
      <c r="H8" s="12" t="n"/>
    </row>
    <row r="9">
      <c r="A9" s="12" t="inlineStr">
        <is>
          <t>Public notices</t>
        </is>
      </c>
      <c r="B9" s="12">
        <f>COUNTIF('Agenda Tracker'!I2:I200,"Public notice")</f>
        <v/>
      </c>
      <c r="C9" s="12" t="n"/>
      <c r="D9" s="12" t="n"/>
      <c r="E9" s="12" t="n"/>
      <c r="F9" s="12" t="n"/>
      <c r="G9" s="12" t="n"/>
      <c r="H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</row>
    <row r="11">
      <c r="A11" s="13" t="inlineStr">
        <is>
          <t>Use: capture every article/public notice as a lead, then require official agenda/minutes/contracts/deeds/filings before upgrading to Confirmed.</t>
        </is>
      </c>
      <c r="B11" s="1" t="n"/>
      <c r="C11" s="1" t="n"/>
      <c r="D11" s="1" t="n"/>
      <c r="E11" s="1" t="n"/>
      <c r="F11" s="1" t="n"/>
      <c r="G11" s="1" t="n"/>
      <c r="H11" s="1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>
      <c r="A13" s="15" t="inlineStr">
        <is>
          <t>Status Key</t>
        </is>
      </c>
      <c r="B13" s="15" t="inlineStr">
        <is>
          <t>Meaning</t>
        </is>
      </c>
      <c r="C13" s="12" t="n"/>
      <c r="D13" s="12" t="n"/>
      <c r="E13" s="12" t="n"/>
      <c r="F13" s="12" t="n"/>
      <c r="G13" s="12" t="n"/>
      <c r="H13" s="12" t="n"/>
    </row>
    <row r="14">
      <c r="A14" s="12" t="inlineStr">
        <is>
          <t>Lead</t>
        </is>
      </c>
      <c r="B14" s="12" t="inlineStr">
        <is>
          <t>Media/source item needing official record confirmation</t>
        </is>
      </c>
      <c r="C14" s="12" t="n"/>
      <c r="D14" s="12" t="n"/>
      <c r="E14" s="12" t="n"/>
      <c r="F14" s="12" t="n"/>
      <c r="G14" s="12" t="n"/>
      <c r="H14" s="12" t="n"/>
    </row>
    <row r="15">
      <c r="A15" s="12" t="inlineStr">
        <is>
          <t>Public-source finding</t>
        </is>
      </c>
      <c r="B15" s="12" t="inlineStr">
        <is>
          <t>Publicly reported fact or event, not yet a full official-record package</t>
        </is>
      </c>
      <c r="C15" s="12" t="n"/>
      <c r="D15" s="12" t="n"/>
      <c r="E15" s="12" t="n"/>
      <c r="F15" s="12" t="n"/>
      <c r="G15" s="12" t="n"/>
      <c r="H15" s="12" t="n"/>
    </row>
    <row r="16">
      <c r="A16" s="12" t="inlineStr">
        <is>
          <t>Public notice</t>
        </is>
      </c>
      <c r="B16" s="12" t="inlineStr">
        <is>
          <t>Official/legal notice or bid/hearing publication</t>
        </is>
      </c>
      <c r="C16" s="12" t="n"/>
      <c r="D16" s="12" t="n"/>
      <c r="E16" s="12" t="n"/>
      <c r="F16" s="12" t="n"/>
      <c r="G16" s="12" t="n"/>
      <c r="H16" s="12" t="n"/>
    </row>
    <row r="17">
      <c r="A17" s="12" t="inlineStr">
        <is>
          <t>Primary-source repository</t>
        </is>
      </c>
      <c r="B17" s="12" t="inlineStr">
        <is>
          <t>Official source system for records</t>
        </is>
      </c>
      <c r="C17" s="12" t="n"/>
      <c r="D17" s="12" t="n"/>
      <c r="E17" s="12" t="n"/>
      <c r="F17" s="12" t="n"/>
      <c r="G17" s="12" t="n"/>
      <c r="H17" s="12" t="n"/>
    </row>
    <row r="18">
      <c r="A18" s="12" t="inlineStr">
        <is>
          <t>Primary-source finding</t>
        </is>
      </c>
      <c r="B18" s="12" t="inlineStr">
        <is>
          <t>Agency/court/source-of-record item</t>
        </is>
      </c>
      <c r="C18" s="12" t="n"/>
      <c r="D18" s="12" t="n"/>
      <c r="E18" s="12" t="n"/>
      <c r="F18" s="12" t="n"/>
      <c r="G18" s="12" t="n"/>
      <c r="H18" s="12" t="n"/>
    </row>
  </sheetData>
  <mergeCells count="2">
    <mergeCell ref="A11:H11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6" customWidth="1" min="3" max="3"/>
    <col width="38" customWidth="1" min="4" max="4"/>
    <col width="26" customWidth="1" min="5" max="5"/>
    <col width="34" customWidth="1" min="6" max="6"/>
    <col width="34" customWidth="1" min="7" max="7"/>
    <col width="28" customWidth="1" min="8" max="8"/>
    <col width="18" customWidth="1" min="9" max="9"/>
    <col width="18" customWidth="1" min="10" max="10"/>
    <col width="42" customWidth="1" min="11" max="11"/>
    <col width="46" customWidth="1" min="12" max="12"/>
    <col width="34" customWidth="1" min="13" max="13"/>
  </cols>
  <sheetData>
    <row r="1">
      <c r="A1" s="24" t="inlineStr">
        <is>
          <t>ID</t>
        </is>
      </c>
      <c r="B1" s="24" t="inlineStr">
        <is>
          <t>Source Outlet</t>
        </is>
      </c>
      <c r="C1" s="24" t="inlineStr">
        <is>
          <t>Published / Event Date</t>
        </is>
      </c>
      <c r="D1" s="24" t="inlineStr">
        <is>
          <t>Title / Record</t>
        </is>
      </c>
      <c r="E1" s="24" t="inlineStr">
        <is>
          <t>Issue Lane</t>
        </is>
      </c>
      <c r="F1" s="24" t="inlineStr">
        <is>
          <t>Entities / Offices Mentioned</t>
        </is>
      </c>
      <c r="G1" s="24" t="inlineStr">
        <is>
          <t>Agenda / Decision Hook</t>
        </is>
      </c>
      <c r="H1" s="24" t="inlineStr">
        <is>
          <t>Pattern Tag</t>
        </is>
      </c>
      <c r="I1" s="24" t="inlineStr">
        <is>
          <t>Evidence Status</t>
        </is>
      </c>
      <c r="J1" s="24" t="inlineStr">
        <is>
          <t>Priority</t>
        </is>
      </c>
      <c r="K1" s="24" t="inlineStr">
        <is>
          <t>Follow-up Record Needed</t>
        </is>
      </c>
      <c r="L1" s="24" t="inlineStr">
        <is>
          <t>Source URL</t>
        </is>
      </c>
      <c r="M1" s="24" t="inlineStr">
        <is>
          <t>Notes</t>
        </is>
      </c>
    </row>
    <row r="2">
      <c r="A2" s="12" t="inlineStr">
        <is>
          <t>PA-001</t>
        </is>
      </c>
      <c r="B2" s="12" t="inlineStr">
        <is>
          <t>Bluebonnet News</t>
        </is>
      </c>
      <c r="C2" s="41" t="n">
        <v>45370</v>
      </c>
      <c r="D2" s="12" t="inlineStr">
        <is>
          <t>Texas Attorney General sues Colony Ridge development for deceptive practices and fraud</t>
        </is>
      </c>
      <c r="E2" s="12" t="inlineStr">
        <is>
          <t>Enforcement / Developer Practices</t>
        </is>
      </c>
      <c r="F2" s="12" t="inlineStr">
        <is>
          <t>Texas AG; Colony Ridge; Liberty County</t>
        </is>
      </c>
      <c r="G2" s="12" t="inlineStr">
        <is>
          <t>State civil enforcement allegations against developer practices</t>
        </is>
      </c>
      <c r="H2" s="12" t="inlineStr">
        <is>
          <t>Enforcement trigger; buyer/flood/infrastructure representations</t>
        </is>
      </c>
      <c r="I2" s="12" t="inlineStr">
        <is>
          <t>Public-source finding</t>
        </is>
      </c>
      <c r="J2" s="12" t="inlineStr">
        <is>
          <t>High</t>
        </is>
      </c>
      <c r="K2" s="12" t="inlineStr">
        <is>
          <t>Original AG petition; docket filings; settlement order; sales docs; flood-risk disclosures</t>
        </is>
      </c>
      <c r="L2" s="12" t="inlineStr">
        <is>
          <t>https://bluebonnetnews.com/2024/03/19/texas-attorney-general-sues-colony-ridge-development-for-deceptive-practices-and-fraud/</t>
        </is>
      </c>
      <c r="M2" s="12" t="inlineStr">
        <is>
          <t>Use as media lead; validate through AG/court filings before report language.</t>
        </is>
      </c>
    </row>
    <row r="3">
      <c r="A3" s="12" t="inlineStr">
        <is>
          <t>PA-002</t>
        </is>
      </c>
      <c r="B3" s="12" t="inlineStr">
        <is>
          <t>Bluebonnet News</t>
        </is>
      </c>
      <c r="C3" s="41" t="n">
        <v>45531</v>
      </c>
      <c r="D3" s="12" t="inlineStr">
        <is>
          <t>Liberty County approves $4.677 million contract for new Northwest Annex in Colony Ridge communities</t>
        </is>
      </c>
      <c r="E3" s="12" t="inlineStr">
        <is>
          <t>County Procurement / Infrastructure</t>
        </is>
      </c>
      <c r="F3" s="12" t="inlineStr">
        <is>
          <t>Liberty County Commissioners Court; White Construction; Burns Architecture; Sheriff; Constable Pct. 6; Permits Department</t>
        </is>
      </c>
      <c r="G3" s="12" t="inlineStr">
        <is>
          <t>Commissioners Court approval of county annex contract in Colony Ridge area</t>
        </is>
      </c>
      <c r="H3" s="12" t="inlineStr">
        <is>
          <t>Public facility spend in developer-growth area; vendor/architect check</t>
        </is>
      </c>
      <c r="I3" s="12" t="inlineStr">
        <is>
          <t>Public-source finding</t>
        </is>
      </c>
      <c r="J3" s="12" t="inlineStr">
        <is>
          <t>High</t>
        </is>
      </c>
      <c r="K3" s="12" t="inlineStr">
        <is>
          <t>Commissioners agenda packet; minutes; executed contract; bid tab; Form 1295; payment/warrant history; change orders</t>
        </is>
      </c>
      <c r="L3" s="12" t="inlineStr">
        <is>
          <t>https://bluebonnetnews.com/2024/08/27/liberty-county-approves-4-677-million-contract-for-new-northwest-annex-in-colony-ridge-communities/</t>
        </is>
      </c>
      <c r="M3" s="12" t="inlineStr">
        <is>
          <t>Strong first procurement case study because amount/vendor/project are identified.</t>
        </is>
      </c>
    </row>
    <row r="4">
      <c r="A4" s="12" t="inlineStr">
        <is>
          <t>PA-003</t>
        </is>
      </c>
      <c r="B4" s="12" t="inlineStr">
        <is>
          <t>Bluebonnet News</t>
        </is>
      </c>
      <c r="C4" s="41" t="n">
        <v>45714</v>
      </c>
      <c r="D4" s="12" t="inlineStr">
        <is>
          <t>ICE targets Colony Ridge, arrests 118 in major sweep</t>
        </is>
      </c>
      <c r="E4" s="12" t="inlineStr">
        <is>
          <t>Law Enforcement / Public Safety</t>
        </is>
      </c>
      <c r="F4" s="12" t="inlineStr">
        <is>
          <t>ICE; Colony Ridge; Liberty County; multi-agency enforcement</t>
        </is>
      </c>
      <c r="G4" s="12" t="inlineStr">
        <is>
          <t>Large enforcement operation inside Colony Ridge</t>
        </is>
      </c>
      <c r="H4" s="12" t="inlineStr">
        <is>
          <t>Public-safety pressure; enforcement narrative; political messaging</t>
        </is>
      </c>
      <c r="I4" s="12" t="inlineStr">
        <is>
          <t>Public-source finding</t>
        </is>
      </c>
      <c r="J4" s="12" t="inlineStr">
        <is>
          <t>Medium</t>
        </is>
      </c>
      <c r="K4" s="12" t="inlineStr">
        <is>
          <t>ICE release; DPS/LCSO incident support records; local resource costs; Commissioners public-safety agenda items</t>
        </is>
      </c>
      <c r="L4" s="12" t="inlineStr">
        <is>
          <t>https://bluebonnetnews.com/2025/02/26/ice-targets-colony-ridge-arrests-118-in-major-sweep/</t>
        </is>
      </c>
      <c r="M4" s="12" t="inlineStr">
        <is>
          <t>Keep separate from corruption claims unless tied to budgets/contracts/enforcement decisions.</t>
        </is>
      </c>
    </row>
    <row r="5">
      <c r="A5" s="12" t="inlineStr">
        <is>
          <t>PA-004</t>
        </is>
      </c>
      <c r="B5" s="12" t="inlineStr">
        <is>
          <t>Bluebonnet News</t>
        </is>
      </c>
      <c r="C5" s="41" t="n">
        <v>45887</v>
      </c>
      <c r="D5" s="12" t="inlineStr">
        <is>
          <t>Commissioners hear updates on county jail, approve land purchase</t>
        </is>
      </c>
      <c r="E5" s="12" t="inlineStr">
        <is>
          <t>County Operations / Capital Spending</t>
        </is>
      </c>
      <c r="F5" s="12" t="inlineStr">
        <is>
          <t>Liberty County Commissioners Court; Sheriff Bobby Rader; Texas Commission on Jail Standards</t>
        </is>
      </c>
      <c r="G5" s="12" t="inlineStr">
        <is>
          <t>County jail deficiency update; land purchase approval</t>
        </is>
      </c>
      <c r="H5" s="12" t="inlineStr">
        <is>
          <t>Capital expenditure; compliance pressure; land acquisition</t>
        </is>
      </c>
      <c r="I5" s="12" t="inlineStr">
        <is>
          <t>Public-source finding</t>
        </is>
      </c>
      <c r="J5" s="12" t="inlineStr">
        <is>
          <t>Medium</t>
        </is>
      </c>
      <c r="K5" s="12" t="inlineStr">
        <is>
          <t>Agenda/minutes; land purchase deed/contract; jail commission deficiency reports; warrants payable</t>
        </is>
      </c>
      <c r="L5" s="12" t="inlineStr">
        <is>
          <t>https://bluebonnetnews.com/2025/08/18/commissioners-hear-updates-on-county-jail-approve-land-purchase/</t>
        </is>
      </c>
      <c r="M5" s="12" t="inlineStr">
        <is>
          <t>Track if land acquisition connects to political families/vendors/developers.</t>
        </is>
      </c>
    </row>
    <row r="6">
      <c r="A6" s="12" t="inlineStr">
        <is>
          <t>PA-005</t>
        </is>
      </c>
      <c r="B6" s="12" t="inlineStr">
        <is>
          <t>Bluebonnet News</t>
        </is>
      </c>
      <c r="C6" s="41" t="n">
        <v>45924</v>
      </c>
      <c r="D6" s="12" t="inlineStr">
        <is>
          <t>Liberty County commissioners approve budget, tax rate for new fiscal year</t>
        </is>
      </c>
      <c r="E6" s="12" t="inlineStr">
        <is>
          <t>Tax / Budget / County Finance</t>
        </is>
      </c>
      <c r="F6" s="12" t="inlineStr">
        <is>
          <t>Liberty County Commissioners Court; County Judge Jay Knight</t>
        </is>
      </c>
      <c r="G6" s="12" t="inlineStr">
        <is>
          <t>FY 2025-2026 budget and tax-rate approval</t>
        </is>
      </c>
      <c r="H6" s="12" t="inlineStr">
        <is>
          <t>Taxpayer burden; budget growth; infrastructure pressure</t>
        </is>
      </c>
      <c r="I6" s="12" t="inlineStr">
        <is>
          <t>Public-source finding</t>
        </is>
      </c>
      <c r="J6" s="12" t="inlineStr">
        <is>
          <t>High</t>
        </is>
      </c>
      <c r="K6" s="12" t="inlineStr">
        <is>
          <t>Adopted budget; tax rate worksheets; hearing notices; department budget changes; capital project list</t>
        </is>
      </c>
      <c r="L6" s="12" t="inlineStr">
        <is>
          <t>https://bluebonnetnews.com/2025/09/24/liberty-county-commissioners-approve-budget-tax-rate-for-new-fiscal-year/</t>
        </is>
      </c>
      <c r="M6" s="12" t="inlineStr">
        <is>
          <t>Use to tie growth/debt claims to actual tax and budget records.</t>
        </is>
      </c>
    </row>
    <row r="7">
      <c r="A7" s="12" t="inlineStr">
        <is>
          <t>PA-006</t>
        </is>
      </c>
      <c r="B7" s="12" t="inlineStr">
        <is>
          <t>The Vindicator</t>
        </is>
      </c>
      <c r="C7" s="41" t="n">
        <v>45687</v>
      </c>
      <c r="D7" s="12" t="inlineStr">
        <is>
          <t>Master Drainage Plan coming along</t>
        </is>
      </c>
      <c r="E7" s="12" t="inlineStr">
        <is>
          <t>Drainage / Engineering / Floodplain</t>
        </is>
      </c>
      <c r="F7" s="12" t="inlineStr">
        <is>
          <t>Liberty County Commissioners Court; LJA Engineering; Harris County</t>
        </is>
      </c>
      <c r="G7" s="12" t="inlineStr">
        <is>
          <t>Workshop/update on county Master Drainage Plan</t>
        </is>
      </c>
      <c r="H7" s="12" t="inlineStr">
        <is>
          <t>Engineering vendor; floodplain standards; regional pressure</t>
        </is>
      </c>
      <c r="I7" s="12" t="inlineStr">
        <is>
          <t>Public-source finding</t>
        </is>
      </c>
      <c r="J7" s="12" t="inlineStr">
        <is>
          <t>High</t>
        </is>
      </c>
      <c r="K7" s="12" t="inlineStr">
        <is>
          <t>Workshop video/minutes; LJA contract; scope; invoices; Harris County minimum requirements; floodplain ordinance updates</t>
        </is>
      </c>
      <c r="L7" s="12" t="inlineStr">
        <is>
          <t>https://www.thevindicator.com/article/269%2Cmaster-drainage-plan-coming-along</t>
        </is>
      </c>
      <c r="M7" s="12" t="inlineStr">
        <is>
          <t>Important bridge between Colony Ridge/drainage complaints and county engineering decisions.</t>
        </is>
      </c>
    </row>
    <row r="8">
      <c r="A8" s="12" t="inlineStr">
        <is>
          <t>PA-007</t>
        </is>
      </c>
      <c r="B8" s="12" t="inlineStr">
        <is>
          <t>The Vindicator</t>
        </is>
      </c>
      <c r="C8" s="41" t="n">
        <v>46010</v>
      </c>
      <c r="D8" s="12" t="inlineStr">
        <is>
          <t>Colony Ridge settles lawsuit</t>
        </is>
      </c>
      <c r="E8" s="12" t="inlineStr">
        <is>
          <t>Litigation / Settlement</t>
        </is>
      </c>
      <c r="F8" s="12" t="inlineStr">
        <is>
          <t>CFPB; United States; Colony Ridge Development; Southern District of Texas</t>
        </is>
      </c>
      <c r="G8" s="12" t="inlineStr">
        <is>
          <t>Joint status report indicating settlement path</t>
        </is>
      </c>
      <c r="H8" s="12" t="inlineStr">
        <is>
          <t>Settlement compliance; infrastructure/public-safety funding; victim relief gap</t>
        </is>
      </c>
      <c r="I8" s="12" t="inlineStr">
        <is>
          <t>Public-source finding</t>
        </is>
      </c>
      <c r="J8" s="12" t="inlineStr">
        <is>
          <t>High</t>
        </is>
      </c>
      <c r="K8" s="12" t="inlineStr">
        <is>
          <t>Joint status report; proposed consent order; final order; settlement compliance monitor reports</t>
        </is>
      </c>
      <c r="L8" s="12" t="inlineStr">
        <is>
          <t>https://www.thevindicator.com/article/2157%2Ccolony-ridge-settles-lawsuit</t>
        </is>
      </c>
      <c r="M8" s="12" t="inlineStr">
        <is>
          <t>Date refers to filing event mentioned in article; validate docket entries.</t>
        </is>
      </c>
    </row>
    <row r="9">
      <c r="A9" s="12" t="inlineStr">
        <is>
          <t>PA-008</t>
        </is>
      </c>
      <c r="B9" s="12" t="inlineStr">
        <is>
          <t>Houston Chronicle</t>
        </is>
      </c>
      <c r="C9" s="41" t="n">
        <v>45712</v>
      </c>
      <c r="D9" s="12" t="inlineStr">
        <is>
          <t>What is Colony Ridge and why is it controversial?</t>
        </is>
      </c>
      <c r="E9" s="12" t="inlineStr">
        <is>
          <t>Background / Development Scale / Politics</t>
        </is>
      </c>
      <c r="F9" s="12" t="inlineStr">
        <is>
          <t>Colony Ridge; John Harris; Trey Harris; Cleveland ISD; Liberty County</t>
        </is>
      </c>
      <c r="G9" s="12" t="inlineStr">
        <is>
          <t>Explainer on scale, school strain, lawsuits, and enforcement context</t>
        </is>
      </c>
      <c r="H9" s="12" t="inlineStr">
        <is>
          <t>Population growth; school-bond pressure; developer practices</t>
        </is>
      </c>
      <c r="I9" s="12" t="inlineStr">
        <is>
          <t>Public-source finding</t>
        </is>
      </c>
      <c r="J9" s="12" t="inlineStr">
        <is>
          <t>Medium</t>
        </is>
      </c>
      <c r="K9" s="12" t="inlineStr">
        <is>
          <t>Chronicle analysis; CISD enrollment data; bond election records; tax-base data; developer land records</t>
        </is>
      </c>
      <c r="L9" s="12" t="inlineStr">
        <is>
          <t>https://www.houstonchronicle.com/news/houston-texas/trending/article/colony-ridge-controversy-know-dps-ice-20185078.php</t>
        </is>
      </c>
      <c r="M9" s="12" t="inlineStr">
        <is>
          <t>Useful for context, not enough alone for procurement or conflict conclusions.</t>
        </is>
      </c>
    </row>
    <row r="10">
      <c r="A10" s="12" t="inlineStr">
        <is>
          <t>PA-009</t>
        </is>
      </c>
      <c r="B10" s="12" t="inlineStr">
        <is>
          <t>Houston Chronicle</t>
        </is>
      </c>
      <c r="C10" s="41" t="n">
        <v>46113</v>
      </c>
      <c r="D10" s="12" t="inlineStr">
        <is>
          <t>Developers urge court to accept Colony Ridge settlement despite civil rights objections</t>
        </is>
      </c>
      <c r="E10" s="12" t="inlineStr">
        <is>
          <t>Settlement / Civil Rights / Enforcement</t>
        </is>
      </c>
      <c r="F10" s="12" t="inlineStr">
        <is>
          <t>Colony Ridge; DOJ; State of Texas; civil rights groups; National Fair Housing Alliance</t>
        </is>
      </c>
      <c r="G10" s="12" t="inlineStr">
        <is>
          <t>Court approval dispute around proposed $68M settlement</t>
        </is>
      </c>
      <c r="H10" s="12" t="inlineStr">
        <is>
          <t>Settlement adequacy; direct relief; public-safety allocation</t>
        </is>
      </c>
      <c r="I10" s="12" t="inlineStr">
        <is>
          <t>Public-source finding</t>
        </is>
      </c>
      <c r="J10" s="12" t="inlineStr">
        <is>
          <t>High</t>
        </is>
      </c>
      <c r="K10" s="12" t="inlineStr">
        <is>
          <t>Court hearing transcript; objections; proposed/final order; DOJ/State filings; compliance plan</t>
        </is>
      </c>
      <c r="L10" s="12" t="inlineStr">
        <is>
          <t>https://www.houstonchronicle.com/news/houston-texas/immigration/article/colony-ridge-settlement-court-dispute-22093890.php</t>
        </is>
      </c>
      <c r="M10" s="12" t="inlineStr">
        <is>
          <t>Track both developer and civil-rights objections for counterfactual review.</t>
        </is>
      </c>
    </row>
    <row r="11">
      <c r="A11" s="12" t="inlineStr">
        <is>
          <t>PA-010</t>
        </is>
      </c>
      <c r="B11" s="12" t="inlineStr">
        <is>
          <t>Houston Chronicle</t>
        </is>
      </c>
      <c r="C11" s="41" t="n">
        <v>45992</v>
      </c>
      <c r="D11" s="12" t="inlineStr">
        <is>
          <t>As Houston developers take advantage of floodplain loopholes, homeowners pay the price</t>
        </is>
      </c>
      <c r="E11" s="12" t="inlineStr">
        <is>
          <t>Floodplain / Drainage / Development Standards</t>
        </is>
      </c>
      <c r="F11" s="12" t="inlineStr">
        <is>
          <t>Greater Houston counties; Liberty County; Colony Ridge; Harris County</t>
        </is>
      </c>
      <c r="G11" s="12" t="inlineStr">
        <is>
          <t>Investigative reporting on floodplain regulation disparities and loopholes</t>
        </is>
      </c>
      <c r="H11" s="12" t="inlineStr">
        <is>
          <t>Drainage externality; public-cost/private-profit theory</t>
        </is>
      </c>
      <c r="I11" s="12" t="inlineStr">
        <is>
          <t>Public-source finding</t>
        </is>
      </c>
      <c r="J11" s="12" t="inlineStr">
        <is>
          <t>High</t>
        </is>
      </c>
      <c r="K11" s="12" t="inlineStr">
        <is>
          <t>County floodplain rules; drainage studies; permits; TCEQ files; engineering reports; homeowner complaints</t>
        </is>
      </c>
      <c r="L11" s="12" t="inlineStr">
        <is>
          <t>https://www.houstonchronicle.com/news/investigations/article/houston-floodplains-development-loopholes-21079222.php</t>
        </is>
      </c>
      <c r="M11" s="12" t="inlineStr">
        <is>
          <t>High-value pattern source; must be paired with official permit/drainage records.</t>
        </is>
      </c>
    </row>
    <row r="12">
      <c r="A12" s="12" t="inlineStr">
        <is>
          <t>PA-011</t>
        </is>
      </c>
      <c r="B12" s="12" t="inlineStr">
        <is>
          <t>Houston Chronicle / iPublish Marketplace</t>
        </is>
      </c>
      <c r="C12" s="41" t="n">
        <v>45817</v>
      </c>
      <c r="D12" s="12" t="inlineStr">
        <is>
          <t>Public notice: Colony Ridge Development / Liberty County Municipal Management District No. 1 bids for San Marcos Drive reconstruction</t>
        </is>
      </c>
      <c r="E12" s="12" t="inlineStr">
        <is>
          <t>Bids / MMD / Infrastructure</t>
        </is>
      </c>
      <c r="F12" s="12" t="inlineStr">
        <is>
          <t>Colony Ridge Development; Liberty County MMD No. 1; San Marcos Drive</t>
        </is>
      </c>
      <c r="G12" s="12" t="inlineStr">
        <is>
          <t>Bid notice for public street reconstruction</t>
        </is>
      </c>
      <c r="H12" s="12" t="inlineStr">
        <is>
          <t>Bid opportunity; MMD infrastructure; developer-district interface</t>
        </is>
      </c>
      <c r="I12" s="12" t="inlineStr">
        <is>
          <t>Public notice</t>
        </is>
      </c>
      <c r="J12" s="12" t="inlineStr">
        <is>
          <t>High</t>
        </is>
      </c>
      <c r="K12" s="12" t="inlineStr">
        <is>
          <t>Bid documents; planholders list; awarded contract; board minutes; engineer estimate; payment applications</t>
        </is>
      </c>
      <c r="L12" s="12" t="inlineStr">
        <is>
          <t>https://marketplace.houstonchronicle.com/houston-marketplace/advert/-general_25488</t>
        </is>
      </c>
      <c r="M12" s="12" t="inlineStr">
        <is>
          <t>Public notice is a direct procurement lead.</t>
        </is>
      </c>
    </row>
    <row r="13">
      <c r="A13" s="12" t="inlineStr">
        <is>
          <t>PA-012</t>
        </is>
      </c>
      <c r="B13" s="12" t="inlineStr">
        <is>
          <t>Houston Chronicle / iPublish Marketplace</t>
        </is>
      </c>
      <c r="C13" s="41" t="n">
        <v>45583</v>
      </c>
      <c r="D13" s="12" t="inlineStr">
        <is>
          <t>Notice to property owners within Liberty County MUD No. 14</t>
        </is>
      </c>
      <c r="E13" s="12" t="inlineStr">
        <is>
          <t>MUD Governance / Public Hearing</t>
        </is>
      </c>
      <c r="F13" s="12" t="inlineStr">
        <is>
          <t>Liberty County MUD No. 14; Schwartz, Page &amp; Harding</t>
        </is>
      </c>
      <c r="G13" s="12" t="inlineStr">
        <is>
          <t>Public hearing for property owners within district</t>
        </is>
      </c>
      <c r="H13" s="12" t="inlineStr">
        <is>
          <t>MUD public notice; district counsel; governance event</t>
        </is>
      </c>
      <c r="I13" s="12" t="inlineStr">
        <is>
          <t>Public notice</t>
        </is>
      </c>
      <c r="J13" s="12" t="inlineStr">
        <is>
          <t>Medium</t>
        </is>
      </c>
      <c r="K13" s="12" t="inlineStr">
        <is>
          <t>Hearing notice backup; board minutes; agenda; engineer report; tax/bond notices; district map</t>
        </is>
      </c>
      <c r="L13" s="12" t="inlineStr">
        <is>
          <t>https://marketplace.houstonchronicle.com/houston-marketplace/advert/to-all-persons-who-own-property-within-liberty-county-municipal-general_21592</t>
        </is>
      </c>
      <c r="M13" s="12" t="inlineStr">
        <is>
          <t>Useful for MUD hearing calendar and counsel/office mapping.</t>
        </is>
      </c>
    </row>
    <row r="14">
      <c r="A14" s="12" t="inlineStr">
        <is>
          <t>PA-013</t>
        </is>
      </c>
      <c r="B14" s="12" t="inlineStr">
        <is>
          <t>Montgomery County Police Reporter</t>
        </is>
      </c>
      <c r="C14" s="41" t="n">
        <v>46054</v>
      </c>
      <c r="D14" s="12" t="inlineStr">
        <is>
          <t>AG Paxton secures major victory stopping Colony Ridge and forcing developers to pay $68 million</t>
        </is>
      </c>
      <c r="E14" s="12" t="inlineStr">
        <is>
          <t>Enforcement / Political Messaging</t>
        </is>
      </c>
      <c r="F14" s="12" t="inlineStr">
        <is>
          <t>Texas AG; DOJ; Colony Ridge</t>
        </is>
      </c>
      <c r="G14" s="12" t="inlineStr">
        <is>
          <t>Public narrative around settlement and state/federal enforcement</t>
        </is>
      </c>
      <c r="H14" s="12" t="inlineStr">
        <is>
          <t>State enforcement narrative; political framing</t>
        </is>
      </c>
      <c r="I14" s="12" t="inlineStr">
        <is>
          <t>Public-source finding</t>
        </is>
      </c>
      <c r="J14" s="12" t="inlineStr">
        <is>
          <t>Medium</t>
        </is>
      </c>
      <c r="K14" s="12" t="inlineStr">
        <is>
          <t>DOJ settlement release; Texas AG release; final order; exact settlement terms</t>
        </is>
      </c>
      <c r="L14" s="12" t="inlineStr">
        <is>
          <t>https://montgomerycountypolicereporter.com/ag-paxton-secures-major-victory-stopping-colony-ridges-illegal-alien-haven-and-forcing-the-developers-to-pay-68-million-in-penalties/</t>
        </is>
      </c>
      <c r="M14" s="12" t="inlineStr">
        <is>
          <t>Use carefully because tone is political; validate with DOJ/AG primary docs.</t>
        </is>
      </c>
    </row>
    <row r="15">
      <c r="A15" s="12" t="inlineStr">
        <is>
          <t>PA-014</t>
        </is>
      </c>
      <c r="B15" s="12" t="inlineStr">
        <is>
          <t>Montgomery County Police Reporter</t>
        </is>
      </c>
      <c r="C15" s="41" t="n">
        <v>45712</v>
      </c>
      <c r="D15" s="12" t="inlineStr">
        <is>
          <t>ICE hits Colony Ridge hard</t>
        </is>
      </c>
      <c r="E15" s="12" t="inlineStr">
        <is>
          <t>Law Enforcement / Public Safety</t>
        </is>
      </c>
      <c r="F15" s="12" t="inlineStr">
        <is>
          <t>ICE; Colony Ridge; Governor Abbott; Liberty County</t>
        </is>
      </c>
      <c r="G15" s="12" t="inlineStr">
        <is>
          <t>Immigration enforcement operation and public narrative</t>
        </is>
      </c>
      <c r="H15" s="12" t="inlineStr">
        <is>
          <t>Public-safety narrative; state/federal coordination</t>
        </is>
      </c>
      <c r="I15" s="12" t="inlineStr">
        <is>
          <t>Public-source finding</t>
        </is>
      </c>
      <c r="J15" s="12" t="inlineStr">
        <is>
          <t>Low/Medium</t>
        </is>
      </c>
      <c r="K15" s="12" t="inlineStr">
        <is>
          <t>ICE/DHS release; DPS/LCSO records; local cost or mutual-aid documentation</t>
        </is>
      </c>
      <c r="L15" s="12" t="inlineStr">
        <is>
          <t>https://montgomerycountypolicereporter.com/ice-hits-colony-ridge-hard/</t>
        </is>
      </c>
      <c r="M15" s="12" t="inlineStr">
        <is>
          <t>Treat as lead only; do not use as standalone proof.</t>
        </is>
      </c>
    </row>
    <row r="16">
      <c r="A16" s="12" t="inlineStr">
        <is>
          <t>PA-015</t>
        </is>
      </c>
      <c r="B16" s="12" t="inlineStr">
        <is>
          <t>DOJ Civil Rights Division</t>
        </is>
      </c>
      <c r="C16" s="41" t="n">
        <v>46054</v>
      </c>
      <c r="D16" s="12" t="inlineStr">
        <is>
          <t>Civil Rights Division secures $68M settlement in predatory land sales and lending lawsuit</t>
        </is>
      </c>
      <c r="E16" s="12" t="inlineStr">
        <is>
          <t>Primary Enforcement / Settlement</t>
        </is>
      </c>
      <c r="F16" s="12" t="inlineStr">
        <is>
          <t>DOJ; Colony Ridge; Texas; CFPB</t>
        </is>
      </c>
      <c r="G16" s="12" t="inlineStr">
        <is>
          <t>Official federal settlement announcement</t>
        </is>
      </c>
      <c r="H16" s="12" t="inlineStr">
        <is>
          <t>Primary enforcement anchor; settlement compliance tracker</t>
        </is>
      </c>
      <c r="I16" s="12" t="inlineStr">
        <is>
          <t>Primary-source finding</t>
        </is>
      </c>
      <c r="J16" s="12" t="inlineStr">
        <is>
          <t>Critical</t>
        </is>
      </c>
      <c r="K16" s="12" t="inlineStr">
        <is>
          <t>Consent order; docket; compliance reports; infrastructure/public safety spending documentation</t>
        </is>
      </c>
      <c r="L16" s="12" t="inlineStr">
        <is>
          <t>https://www.justice.gov/opa/pr/civil-rights-division-secures-68m-settlement-predatory-land-sales-and-lending-lawsuit</t>
        </is>
      </c>
      <c r="M16" s="12" t="inlineStr">
        <is>
          <t>Primary source should control over media summaries.</t>
        </is>
      </c>
    </row>
    <row r="17">
      <c r="A17" s="12" t="inlineStr">
        <is>
          <t>PA-016</t>
        </is>
      </c>
      <c r="B17" s="12" t="inlineStr">
        <is>
          <t>Liberty County Official Website</t>
        </is>
      </c>
      <c r="C17" s="41" t="n">
        <v>46181</v>
      </c>
      <c r="D17" s="12" t="inlineStr">
        <is>
          <t>Commissioners Court agendas and minutes repository</t>
        </is>
      </c>
      <c r="E17" s="12" t="inlineStr">
        <is>
          <t>Official Records / Agenda Tracking</t>
        </is>
      </c>
      <c r="F17" s="12" t="inlineStr">
        <is>
          <t>Liberty County Commissioners Court</t>
        </is>
      </c>
      <c r="G17" s="12" t="inlineStr">
        <is>
          <t>Official agenda/minutes source for county action review</t>
        </is>
      </c>
      <c r="H17" s="12" t="inlineStr">
        <is>
          <t>Primary record source; vote/action verification</t>
        </is>
      </c>
      <c r="I17" s="12" t="inlineStr">
        <is>
          <t>Primary-source repository</t>
        </is>
      </c>
      <c r="J17" s="12" t="inlineStr">
        <is>
          <t>Critical</t>
        </is>
      </c>
      <c r="K17" s="12" t="inlineStr">
        <is>
          <t>Download agendas/minutes; extract vendors, contracts, warrants, land purchases, change orders, Form 1295 references</t>
        </is>
      </c>
      <c r="L17" s="12" t="inlineStr">
        <is>
          <t>https://www.co.liberty.tx.us/page/liberty.CommissionersCourtAgendas</t>
        </is>
      </c>
      <c r="M17" s="12" t="inlineStr">
        <is>
          <t>This is the control source for political-agenda tracking.</t>
        </is>
      </c>
    </row>
    <row r="18">
      <c r="A18" s="12" t="inlineStr">
        <is>
          <t>PA-017</t>
        </is>
      </c>
      <c r="B18" s="12" t="inlineStr">
        <is>
          <t>Bluebonnet News</t>
        </is>
      </c>
      <c r="C18" s="41" t="n">
        <v>46184</v>
      </c>
      <c r="D18" s="12" t="inlineStr">
        <is>
          <t>Analysis of the Cold Iron Land Syndication and Liberty County Infrastructure Crossover</t>
        </is>
      </c>
      <c r="E18" s="12" t="inlineStr">
        <is>
          <t>Governance / Infrastructure</t>
        </is>
      </c>
      <c r="F18" s="12" t="inlineStr">
        <is>
          <t>Liberty County MMD No. 1; Liberty County MUD No. 1; Bluebonnet News; Marek Brothers Company LLC</t>
        </is>
      </c>
      <c r="G18" s="12" t="inlineStr">
        <is>
          <t>Coordination between public taxing entities MMD 1 and MUD 1 for joint infrastructure contracts</t>
        </is>
      </c>
      <c r="H18" s="12" t="inlineStr">
        <is>
          <t>Special District Crossovers; Developer Interlocks</t>
        </is>
      </c>
      <c r="I18" s="12" t="inlineStr">
        <is>
          <t>Public-source finding</t>
        </is>
      </c>
      <c r="J18" s="12" t="inlineStr">
        <is>
          <t>High</t>
        </is>
      </c>
      <c r="K18" s="12" t="inlineStr">
        <is>
          <t>MUD/MMD joint agreement records; street lamp installation contracts; Coats Rose board minutes</t>
        </is>
      </c>
      <c r="L18" s="12" t="inlineStr">
        <is>
          <t>cold_iron_report.html</t>
        </is>
      </c>
      <c r="M18" s="12" t="inlineStr">
        <is>
          <t>Provides the missing links for the northern and southern board crossovers and the Marek family network.</t>
        </is>
      </c>
    </row>
    <row r="19">
      <c r="A19" s="12" t="inlineStr">
        <is>
          <t>PA-018</t>
        </is>
      </c>
      <c r="B19" s="12" t="inlineStr">
        <is>
          <t>Bluebonnet News</t>
        </is>
      </c>
      <c r="C19" s="41" t="n">
        <v>46105</v>
      </c>
      <c r="D19" s="12" t="inlineStr">
        <is>
          <t>Former LCHA Commissioner Emily Kebodeaux Cook Indicted for Misapplication of Fiduciary Property</t>
        </is>
      </c>
      <c r="E19" s="12" t="inlineStr">
        <is>
          <t>Governance / Conflicts of Interest</t>
        </is>
      </c>
      <c r="F19" s="12" t="inlineStr">
        <is>
          <t>Emily Kebodeaux Cook; Liberty County Housing Authority; Central Appraisal District</t>
        </is>
      </c>
      <c r="G19" s="12" t="inlineStr">
        <is>
          <t>Central Appraisal District Board Member indicted on felony charges relating to housing authority assets.</t>
        </is>
      </c>
      <c r="H19" s="12" t="inlineStr">
        <is>
          <t>Governance Conflicts; Public Integrity</t>
        </is>
      </c>
      <c r="I19" s="12" t="inlineStr">
        <is>
          <t>Verified / Indictment</t>
        </is>
      </c>
      <c r="J19" s="12" t="inlineStr">
        <is>
          <t>High</t>
        </is>
      </c>
      <c r="K19" s="12" t="inlineStr">
        <is>
          <t>Court docket and bond conditions filings</t>
        </is>
      </c>
      <c r="L19" s="12" t="inlineStr">
        <is>
          <t>https://bluebonnetnews.com</t>
        </is>
      </c>
      <c r="M19" s="12" t="inlineStr">
        <is>
          <t>Cook is also running for District Attorney in 2028.</t>
        </is>
      </c>
    </row>
    <row r="20">
      <c r="A20" s="12" t="inlineStr">
        <is>
          <t>PA-019</t>
        </is>
      </c>
      <c r="B20" s="12" t="inlineStr">
        <is>
          <t>Houston Chronicle</t>
        </is>
      </c>
      <c r="C20" s="41" t="n">
        <v>46126</v>
      </c>
      <c r="D20" s="12" t="inlineStr">
        <is>
          <t>Former Elections Administrator Klint Bush Faced New Grand Jury Indictments for Abuse and Theft of Public Funds</t>
        </is>
      </c>
      <c r="E20" s="12" t="inlineStr">
        <is>
          <t>Enforcement / Developer Practices</t>
        </is>
      </c>
      <c r="F20" s="12" t="inlineStr">
        <is>
          <t>Klint Bush; Liberty County Housing Authority; Tommy Brents; Cypritech</t>
        </is>
      </c>
      <c r="G20" s="12" t="inlineStr">
        <is>
          <t>New grand jury indictments for theft of $150k+; filings link Cypritech retainer to mayoral candidate Tommy Brents.</t>
        </is>
      </c>
      <c r="H20" s="12" t="inlineStr">
        <is>
          <t>Public Housing Fraud; Election Administrator Scandals</t>
        </is>
      </c>
      <c r="I20" s="12" t="inlineStr">
        <is>
          <t>Verified / Indictments</t>
        </is>
      </c>
      <c r="J20" s="12" t="inlineStr">
        <is>
          <t>High</t>
        </is>
      </c>
      <c r="K20" s="12" t="inlineStr">
        <is>
          <t>Indictment records and case file in 253rd District Court</t>
        </is>
      </c>
      <c r="L20" s="12" t="inlineStr">
        <is>
          <t>https://houstonchronicle.com</t>
        </is>
      </c>
      <c r="M20" s="12" t="inlineStr">
        <is>
          <t>Court documents details 14 transactions from 2019-2021.</t>
        </is>
      </c>
    </row>
    <row r="21">
      <c r="A21" s="12" t="inlineStr">
        <is>
          <t>PA-020</t>
        </is>
      </c>
      <c r="B21" s="12" t="inlineStr">
        <is>
          <t>Bluebonnet News</t>
        </is>
      </c>
      <c r="C21" s="41" t="n">
        <v>46206</v>
      </c>
      <c r="D21" s="12" t="inlineStr">
        <is>
          <t>Former Liberty Police Officer Jason Grindstaff Surrenders Following Indictment</t>
        </is>
      </c>
      <c r="E21" s="12" t="inlineStr">
        <is>
          <t>Law Enforcement / Public Integrity</t>
        </is>
      </c>
      <c r="F21" s="12" t="inlineStr">
        <is>
          <t>Jason Grindstaff; Liberty Police Department; Texas Rangers</t>
        </is>
      </c>
      <c r="G21" s="12" t="inlineStr">
        <is>
          <t>Surrender and booking of former police officer indicted for official oppression and indecent assault.</t>
        </is>
      </c>
      <c r="H21" s="12" t="inlineStr">
        <is>
          <t>Law Enforcement Malfeasance; Official Oppression</t>
        </is>
      </c>
      <c r="I21" s="12" t="inlineStr">
        <is>
          <t>Verified / Arrest</t>
        </is>
      </c>
      <c r="J21" s="12" t="inlineStr">
        <is>
          <t>High</t>
        </is>
      </c>
      <c r="K21" s="12" t="inlineStr">
        <is>
          <t>Booking records and indictment details</t>
        </is>
      </c>
      <c r="L21" s="12" t="inlineStr">
        <is>
          <t>https://bluebonnetnews.com</t>
        </is>
      </c>
      <c r="M21" s="12" t="inlineStr">
        <is>
          <t>Texas Rangers conducted the initial investigation.</t>
        </is>
      </c>
    </row>
    <row r="22">
      <c r="A22" s="12" t="inlineStr">
        <is>
          <t>PA-021</t>
        </is>
      </c>
      <c r="B22" s="12" t="inlineStr">
        <is>
          <t>Bluebonnet News</t>
        </is>
      </c>
      <c r="C22" s="41" t="n">
        <v>46000</v>
      </c>
      <c r="D22" s="12" t="inlineStr">
        <is>
          <t>City of Liberty addresses officer's involvement in Nov. 20 auto-pedestrian accident</t>
        </is>
      </c>
      <c r="E22" s="12" t="inlineStr">
        <is>
          <t>Law Enforcement / Public Integrity</t>
        </is>
      </c>
      <c r="F22" s="12" t="inlineStr">
        <is>
          <t>Liberty Police Department; Texas Department of Public Safety (DPS)</t>
        </is>
      </c>
      <c r="G22" s="12" t="inlineStr">
        <is>
          <t>City statement and disciplinary review following an officer-involved auto-pedestrian crash.</t>
        </is>
      </c>
      <c r="H22" s="12" t="inlineStr">
        <is>
          <t>Officer-Involved Accident; Disciplinary Review</t>
        </is>
      </c>
      <c r="I22" s="12" t="inlineStr">
        <is>
          <t>Verified / Public Release</t>
        </is>
      </c>
      <c r="J22" s="12" t="inlineStr">
        <is>
          <t>High</t>
        </is>
      </c>
      <c r="K22" s="12" t="inlineStr">
        <is>
          <t>DPS crash report, internal investigation files</t>
        </is>
      </c>
      <c r="L22" s="12" t="inlineStr">
        <is>
          <t>https://bluebonnetnews.com</t>
        </is>
      </c>
      <c r="M22" s="12" t="inlineStr">
        <is>
          <t>Incident occurred on November 20, 2025. DPS conducted independent investigation; City took internal disciplinary action.</t>
        </is>
      </c>
    </row>
    <row r="23">
      <c r="A23" s="12" t="inlineStr">
        <is>
          <t>PA-022</t>
        </is>
      </c>
      <c r="B23" s="12" t="inlineStr">
        <is>
          <t>Bluebonnet News</t>
        </is>
      </c>
      <c r="C23" s="41" t="n">
        <v>45974</v>
      </c>
      <c r="D23" s="12" t="inlineStr">
        <is>
          <t>Termination of Liberty PD Lt. Lozano following Texas Rangers Jail Access Investigation</t>
        </is>
      </c>
      <c r="E23" s="12" t="inlineStr">
        <is>
          <t>Law Enforcement / Public Integrity</t>
        </is>
      </c>
      <c r="F23" s="12" t="inlineStr">
        <is>
          <t>Lt. Ramiro Lozano; Liberty Police Department; Texas Rangers</t>
        </is>
      </c>
      <c r="G23" s="12" t="inlineStr">
        <is>
          <t>Liberty PD Lieutenant Ramiro Lozano terminated for poor judgment regarding jail access to Domingo Quintana.</t>
        </is>
      </c>
      <c r="H23" s="12" t="inlineStr">
        <is>
          <t>Jail Access Incident; Disciplinary Review</t>
        </is>
      </c>
      <c r="I23" s="12" t="inlineStr">
        <is>
          <t>Verified / Termination</t>
        </is>
      </c>
      <c r="J23" s="12" t="inlineStr">
        <is>
          <t>High</t>
        </is>
      </c>
      <c r="K23" s="12" t="inlineStr">
        <is>
          <t>Internal investigation files and city statements</t>
        </is>
      </c>
      <c r="L23" s="12" t="inlineStr">
        <is>
          <t>https://bluebonnetnews.com</t>
        </is>
      </c>
      <c r="M23" s="12" t="inlineStr">
        <is>
          <t>Texas Rangers conducted the investigation; terminated November 2025.</t>
        </is>
      </c>
    </row>
    <row r="24">
      <c r="A24" s="12" t="inlineStr">
        <is>
          <t>PA-023</t>
        </is>
      </c>
      <c r="B24" s="12" t="inlineStr">
        <is>
          <t>City of Liberty</t>
        </is>
      </c>
      <c r="C24" s="41" t="n">
        <v>45658</v>
      </c>
      <c r="D24" s="12" t="inlineStr">
        <is>
          <t>Service History of Liberty PD Lt. Cedric McDuffie</t>
        </is>
      </c>
      <c r="E24" s="12" t="inlineStr">
        <is>
          <t>Law Enforcement / Personnel</t>
        </is>
      </c>
      <c r="F24" s="12" t="inlineStr">
        <is>
          <t>Cedric McDuffie; Liberty Police Department</t>
        </is>
      </c>
      <c r="G24" s="12" t="inlineStr">
        <is>
          <t>Documentation of Lieutenant Cedric McDuffie's tenure with the Liberty Police Department.</t>
        </is>
      </c>
      <c r="H24" s="12" t="inlineStr">
        <is>
          <t>Personnel History; Department Staffing</t>
        </is>
      </c>
      <c r="I24" s="12" t="inlineStr">
        <is>
          <t>Verified / Records</t>
        </is>
      </c>
      <c r="J24" s="12" t="inlineStr">
        <is>
          <t>Medium</t>
        </is>
      </c>
      <c r="K24" s="12" t="inlineStr">
        <is>
          <t>City rosters and county civil service filings</t>
        </is>
      </c>
      <c r="L24" s="12" t="inlineStr">
        <is>
          <t>https://cityofliberty.org</t>
        </is>
      </c>
      <c r="M24" s="12" t="inlineStr">
        <is>
          <t>Long-serving officer who later joined Shenandoah PD.</t>
        </is>
      </c>
    </row>
    <row r="25">
      <c r="A25" s="12" t="n"/>
      <c r="B25" s="12" t="n"/>
      <c r="C25" s="41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12" t="n"/>
      <c r="B26" s="12" t="n"/>
      <c r="C26" s="41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12" t="n"/>
      <c r="B27" s="12" t="n"/>
      <c r="C27" s="41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12" t="n"/>
      <c r="B28" s="12" t="n"/>
      <c r="C28" s="41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12" t="n"/>
      <c r="B29" s="12" t="n"/>
      <c r="C29" s="41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12" t="n"/>
      <c r="B30" s="12" t="n"/>
      <c r="C30" s="41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12" t="n"/>
      <c r="B31" s="12" t="n"/>
      <c r="C31" s="41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12" t="n"/>
      <c r="B32" s="12" t="n"/>
      <c r="C32" s="41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>
      <c r="A33" s="12" t="n"/>
      <c r="B33" s="12" t="n"/>
      <c r="C33" s="41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</row>
    <row r="34">
      <c r="A34" s="12" t="n"/>
      <c r="B34" s="12" t="n"/>
      <c r="C34" s="41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12" t="n"/>
      <c r="B35" s="12" t="n"/>
      <c r="C35" s="41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</row>
    <row r="36">
      <c r="A36" s="12" t="n"/>
      <c r="B36" s="12" t="n"/>
      <c r="C36" s="41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</row>
    <row r="37">
      <c r="A37" s="12" t="n"/>
      <c r="B37" s="12" t="n"/>
      <c r="C37" s="41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</row>
    <row r="38">
      <c r="A38" s="12" t="n"/>
      <c r="B38" s="12" t="n"/>
      <c r="C38" s="41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</row>
    <row r="39">
      <c r="A39" s="12" t="n"/>
      <c r="B39" s="12" t="n"/>
      <c r="C39" s="41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</row>
    <row r="40">
      <c r="A40" s="12" t="n"/>
      <c r="B40" s="12" t="n"/>
      <c r="C40" s="41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</row>
    <row r="41">
      <c r="A41" s="12" t="n"/>
      <c r="B41" s="12" t="n"/>
      <c r="C41" s="41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</row>
    <row r="42">
      <c r="A42" s="12" t="n"/>
      <c r="B42" s="12" t="n"/>
      <c r="C42" s="41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</row>
    <row r="43">
      <c r="A43" s="12" t="n"/>
      <c r="B43" s="12" t="n"/>
      <c r="C43" s="41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</row>
    <row r="44">
      <c r="A44" s="12" t="n"/>
      <c r="B44" s="12" t="n"/>
      <c r="C44" s="41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</row>
    <row r="45">
      <c r="A45" s="12" t="n"/>
      <c r="B45" s="12" t="n"/>
      <c r="C45" s="41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</row>
    <row r="46">
      <c r="A46" s="12" t="n"/>
      <c r="B46" s="12" t="n"/>
      <c r="C46" s="41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</row>
    <row r="47">
      <c r="A47" s="12" t="n"/>
      <c r="B47" s="12" t="n"/>
      <c r="C47" s="41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</row>
    <row r="48">
      <c r="A48" s="12" t="n"/>
      <c r="B48" s="12" t="n"/>
      <c r="C48" s="41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</row>
    <row r="49">
      <c r="A49" s="12" t="n"/>
      <c r="B49" s="12" t="n"/>
      <c r="C49" s="41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</row>
    <row r="50">
      <c r="A50" s="12" t="n"/>
      <c r="B50" s="12" t="n"/>
      <c r="C50" s="41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</row>
    <row r="51">
      <c r="A51" s="12" t="n"/>
      <c r="B51" s="12" t="n"/>
      <c r="C51" s="41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</row>
    <row r="52">
      <c r="A52" s="12" t="n"/>
      <c r="B52" s="12" t="n"/>
      <c r="C52" s="41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</row>
    <row r="53">
      <c r="A53" s="12" t="n"/>
      <c r="B53" s="12" t="n"/>
      <c r="C53" s="41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</row>
    <row r="54">
      <c r="A54" s="12" t="n"/>
      <c r="B54" s="12" t="n"/>
      <c r="C54" s="41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</row>
    <row r="55">
      <c r="A55" s="12" t="n"/>
      <c r="B55" s="12" t="n"/>
      <c r="C55" s="41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</row>
    <row r="56">
      <c r="A56" s="12" t="n"/>
      <c r="B56" s="12" t="n"/>
      <c r="C56" s="41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</row>
    <row r="57">
      <c r="A57" s="12" t="n"/>
      <c r="B57" s="12" t="n"/>
      <c r="C57" s="41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</row>
    <row r="58">
      <c r="A58" s="12" t="n"/>
      <c r="B58" s="12" t="n"/>
      <c r="C58" s="41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</row>
    <row r="59">
      <c r="A59" s="12" t="n"/>
      <c r="B59" s="12" t="n"/>
      <c r="C59" s="41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</row>
    <row r="60">
      <c r="A60" s="12" t="n"/>
      <c r="B60" s="12" t="n"/>
      <c r="C60" s="41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</row>
    <row r="61">
      <c r="A61" s="12" t="n"/>
      <c r="B61" s="12" t="n"/>
      <c r="C61" s="41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</row>
    <row r="62">
      <c r="A62" s="12" t="n"/>
      <c r="B62" s="12" t="n"/>
      <c r="C62" s="41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</row>
    <row r="63">
      <c r="A63" s="12" t="n"/>
      <c r="B63" s="12" t="n"/>
      <c r="C63" s="41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</row>
    <row r="64">
      <c r="A64" s="12" t="n"/>
      <c r="B64" s="12" t="n"/>
      <c r="C64" s="41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</row>
    <row r="65">
      <c r="A65" s="12" t="n"/>
      <c r="B65" s="12" t="n"/>
      <c r="C65" s="41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</row>
    <row r="66">
      <c r="A66" s="12" t="n"/>
      <c r="B66" s="12" t="n"/>
      <c r="C66" s="41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</row>
    <row r="67">
      <c r="A67" s="12" t="n"/>
      <c r="B67" s="12" t="n"/>
      <c r="C67" s="41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</row>
    <row r="68">
      <c r="A68" s="12" t="n"/>
      <c r="B68" s="12" t="n"/>
      <c r="C68" s="41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</row>
    <row r="69">
      <c r="A69" s="12" t="n"/>
      <c r="B69" s="12" t="n"/>
      <c r="C69" s="41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</row>
    <row r="70">
      <c r="A70" s="12" t="n"/>
      <c r="B70" s="12" t="n"/>
      <c r="C70" s="41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</row>
    <row r="71">
      <c r="A71" s="12" t="n"/>
      <c r="B71" s="12" t="n"/>
      <c r="C71" s="41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</row>
    <row r="72">
      <c r="A72" s="12" t="n"/>
      <c r="B72" s="12" t="n"/>
      <c r="C72" s="41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</row>
    <row r="73">
      <c r="A73" s="12" t="n"/>
      <c r="B73" s="12" t="n"/>
      <c r="C73" s="4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</row>
    <row r="74">
      <c r="A74" s="12" t="n"/>
      <c r="B74" s="12" t="n"/>
      <c r="C74" s="41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</row>
    <row r="75">
      <c r="A75" s="12" t="n"/>
      <c r="B75" s="12" t="n"/>
      <c r="C75" s="41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</row>
    <row r="76">
      <c r="A76" s="12" t="n"/>
      <c r="B76" s="12" t="n"/>
      <c r="C76" s="41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</row>
    <row r="77">
      <c r="A77" s="12" t="n"/>
      <c r="B77" s="12" t="n"/>
      <c r="C77" s="41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</row>
    <row r="78">
      <c r="A78" s="12" t="n"/>
      <c r="B78" s="12" t="n"/>
      <c r="C78" s="41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</row>
    <row r="79">
      <c r="A79" s="12" t="n"/>
      <c r="B79" s="12" t="n"/>
      <c r="C79" s="41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</row>
    <row r="80">
      <c r="A80" s="12" t="n"/>
      <c r="B80" s="12" t="n"/>
      <c r="C80" s="41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</row>
    <row r="81">
      <c r="A81" s="12" t="n"/>
      <c r="B81" s="12" t="n"/>
      <c r="C81" s="41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</row>
    <row r="82">
      <c r="A82" s="12" t="n"/>
      <c r="B82" s="12" t="n"/>
      <c r="C82" s="41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</row>
    <row r="83">
      <c r="A83" s="12" t="n"/>
      <c r="B83" s="12" t="n"/>
      <c r="C83" s="41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</row>
    <row r="84">
      <c r="A84" s="12" t="n"/>
      <c r="B84" s="12" t="n"/>
      <c r="C84" s="41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</row>
    <row r="85">
      <c r="A85" s="12" t="n"/>
      <c r="B85" s="12" t="n"/>
      <c r="C85" s="41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</row>
    <row r="86">
      <c r="A86" s="12" t="n"/>
      <c r="B86" s="12" t="n"/>
      <c r="C86" s="41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</row>
    <row r="87">
      <c r="A87" s="12" t="n"/>
      <c r="B87" s="12" t="n"/>
      <c r="C87" s="41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</row>
    <row r="88">
      <c r="A88" s="12" t="n"/>
      <c r="B88" s="12" t="n"/>
      <c r="C88" s="41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</row>
    <row r="89">
      <c r="A89" s="12" t="n"/>
      <c r="B89" s="12" t="n"/>
      <c r="C89" s="41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</row>
    <row r="90">
      <c r="A90" s="12" t="n"/>
      <c r="B90" s="12" t="n"/>
      <c r="C90" s="41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</row>
    <row r="91">
      <c r="A91" s="12" t="n"/>
      <c r="B91" s="12" t="n"/>
      <c r="C91" s="41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</row>
    <row r="92">
      <c r="A92" s="12" t="n"/>
      <c r="B92" s="12" t="n"/>
      <c r="C92" s="41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</row>
    <row r="93">
      <c r="A93" s="12" t="n"/>
      <c r="B93" s="12" t="n"/>
      <c r="C93" s="41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</row>
    <row r="94">
      <c r="A94" s="12" t="n"/>
      <c r="B94" s="12" t="n"/>
      <c r="C94" s="41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</row>
    <row r="95">
      <c r="A95" s="12" t="n"/>
      <c r="B95" s="12" t="n"/>
      <c r="C95" s="41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</row>
    <row r="96">
      <c r="A96" s="12" t="n"/>
      <c r="B96" s="12" t="n"/>
      <c r="C96" s="41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</row>
    <row r="97">
      <c r="A97" s="12" t="n"/>
      <c r="B97" s="12" t="n"/>
      <c r="C97" s="41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</row>
    <row r="98">
      <c r="A98" s="12" t="n"/>
      <c r="B98" s="12" t="n"/>
      <c r="C98" s="41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</row>
    <row r="99">
      <c r="A99" s="12" t="n"/>
      <c r="B99" s="12" t="n"/>
      <c r="C99" s="41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</row>
    <row r="100">
      <c r="A100" s="12" t="n"/>
      <c r="B100" s="12" t="n"/>
      <c r="C100" s="41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</row>
    <row r="101">
      <c r="A101" s="12" t="n"/>
      <c r="B101" s="12" t="n"/>
      <c r="C101" s="41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</row>
    <row r="102">
      <c r="A102" s="12" t="n"/>
      <c r="B102" s="12" t="n"/>
      <c r="C102" s="41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</row>
    <row r="103">
      <c r="A103" s="12" t="n"/>
      <c r="B103" s="12" t="n"/>
      <c r="C103" s="41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</row>
    <row r="104">
      <c r="A104" s="12" t="n"/>
      <c r="B104" s="12" t="n"/>
      <c r="C104" s="41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</row>
    <row r="105">
      <c r="A105" s="12" t="n"/>
      <c r="B105" s="12" t="n"/>
      <c r="C105" s="41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</row>
    <row r="106">
      <c r="A106" s="12" t="n"/>
      <c r="B106" s="12" t="n"/>
      <c r="C106" s="41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</row>
    <row r="107">
      <c r="A107" s="12" t="n"/>
      <c r="B107" s="12" t="n"/>
      <c r="C107" s="41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</row>
    <row r="108">
      <c r="A108" s="12" t="n"/>
      <c r="B108" s="12" t="n"/>
      <c r="C108" s="41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</row>
    <row r="109">
      <c r="A109" s="12" t="n"/>
      <c r="B109" s="12" t="n"/>
      <c r="C109" s="41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</row>
    <row r="110">
      <c r="A110" s="12" t="n"/>
      <c r="B110" s="12" t="n"/>
      <c r="C110" s="41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</row>
    <row r="111">
      <c r="A111" s="12" t="n"/>
      <c r="B111" s="12" t="n"/>
      <c r="C111" s="41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</row>
    <row r="112">
      <c r="A112" s="12" t="n"/>
      <c r="B112" s="12" t="n"/>
      <c r="C112" s="41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</row>
    <row r="113">
      <c r="A113" s="12" t="n"/>
      <c r="B113" s="12" t="n"/>
      <c r="C113" s="41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</row>
    <row r="114">
      <c r="A114" s="12" t="n"/>
      <c r="B114" s="12" t="n"/>
      <c r="C114" s="41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</row>
    <row r="115">
      <c r="A115" s="12" t="n"/>
      <c r="B115" s="12" t="n"/>
      <c r="C115" s="41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</row>
    <row r="116">
      <c r="A116" s="12" t="n"/>
      <c r="B116" s="12" t="n"/>
      <c r="C116" s="41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</row>
    <row r="117">
      <c r="A117" s="12" t="n"/>
      <c r="B117" s="12" t="n"/>
      <c r="C117" s="41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</row>
    <row r="118">
      <c r="A118" s="12" t="n"/>
      <c r="B118" s="12" t="n"/>
      <c r="C118" s="41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</row>
    <row r="119">
      <c r="A119" s="12" t="n"/>
      <c r="B119" s="12" t="n"/>
      <c r="C119" s="41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</row>
    <row r="120">
      <c r="A120" s="12" t="n"/>
      <c r="B120" s="12" t="n"/>
      <c r="C120" s="41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</row>
    <row r="121">
      <c r="A121" s="12" t="n"/>
      <c r="B121" s="12" t="n"/>
      <c r="C121" s="41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</row>
    <row r="122">
      <c r="A122" s="12" t="n"/>
      <c r="B122" s="12" t="n"/>
      <c r="C122" s="41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</row>
    <row r="123">
      <c r="A123" s="12" t="n"/>
      <c r="B123" s="12" t="n"/>
      <c r="C123" s="41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</row>
    <row r="124">
      <c r="A124" s="12" t="n"/>
      <c r="B124" s="12" t="n"/>
      <c r="C124" s="41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</row>
    <row r="125">
      <c r="A125" s="12" t="n"/>
      <c r="B125" s="12" t="n"/>
      <c r="C125" s="41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</row>
    <row r="126">
      <c r="A126" s="12" t="n"/>
      <c r="B126" s="12" t="n"/>
      <c r="C126" s="41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</row>
    <row r="127">
      <c r="A127" s="12" t="n"/>
      <c r="B127" s="12" t="n"/>
      <c r="C127" s="41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</row>
    <row r="128">
      <c r="A128" s="12" t="n"/>
      <c r="B128" s="12" t="n"/>
      <c r="C128" s="41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</row>
    <row r="129">
      <c r="A129" s="12" t="n"/>
      <c r="B129" s="12" t="n"/>
      <c r="C129" s="41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</row>
    <row r="130">
      <c r="A130" s="12" t="n"/>
      <c r="B130" s="12" t="n"/>
      <c r="C130" s="41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</row>
    <row r="131">
      <c r="A131" s="12" t="n"/>
      <c r="B131" s="12" t="n"/>
      <c r="C131" s="41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</row>
    <row r="132">
      <c r="A132" s="12" t="n"/>
      <c r="B132" s="12" t="n"/>
      <c r="C132" s="41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</row>
    <row r="133">
      <c r="A133" s="12" t="n"/>
      <c r="B133" s="12" t="n"/>
      <c r="C133" s="41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</row>
    <row r="134">
      <c r="A134" s="12" t="n"/>
      <c r="B134" s="12" t="n"/>
      <c r="C134" s="41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</row>
    <row r="135">
      <c r="A135" s="12" t="n"/>
      <c r="B135" s="12" t="n"/>
      <c r="C135" s="41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</row>
    <row r="136">
      <c r="A136" s="12" t="n"/>
      <c r="B136" s="12" t="n"/>
      <c r="C136" s="41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</row>
    <row r="137">
      <c r="A137" s="12" t="n"/>
      <c r="B137" s="12" t="n"/>
      <c r="C137" s="41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</row>
    <row r="138">
      <c r="A138" s="12" t="n"/>
      <c r="B138" s="12" t="n"/>
      <c r="C138" s="41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</row>
    <row r="139">
      <c r="A139" s="12" t="n"/>
      <c r="B139" s="12" t="n"/>
      <c r="C139" s="41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</row>
    <row r="140">
      <c r="A140" s="12" t="n"/>
      <c r="B140" s="12" t="n"/>
      <c r="C140" s="41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</row>
    <row r="141">
      <c r="A141" s="12" t="n"/>
      <c r="B141" s="12" t="n"/>
      <c r="C141" s="41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</row>
    <row r="142">
      <c r="A142" s="12" t="n"/>
      <c r="B142" s="12" t="n"/>
      <c r="C142" s="41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</row>
    <row r="143">
      <c r="A143" s="12" t="n"/>
      <c r="B143" s="12" t="n"/>
      <c r="C143" s="41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</row>
    <row r="144">
      <c r="A144" s="12" t="n"/>
      <c r="B144" s="12" t="n"/>
      <c r="C144" s="41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</row>
    <row r="145">
      <c r="A145" s="12" t="n"/>
      <c r="B145" s="12" t="n"/>
      <c r="C145" s="41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</row>
    <row r="146">
      <c r="A146" s="12" t="n"/>
      <c r="B146" s="12" t="n"/>
      <c r="C146" s="41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</row>
    <row r="147">
      <c r="A147" s="12" t="n"/>
      <c r="B147" s="12" t="n"/>
      <c r="C147" s="41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</row>
    <row r="148">
      <c r="A148" s="12" t="n"/>
      <c r="B148" s="12" t="n"/>
      <c r="C148" s="41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</row>
    <row r="149">
      <c r="A149" s="12" t="n"/>
      <c r="B149" s="12" t="n"/>
      <c r="C149" s="41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</row>
    <row r="150">
      <c r="A150" s="12" t="n"/>
      <c r="B150" s="12" t="n"/>
      <c r="C150" s="41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</row>
    <row r="151">
      <c r="A151" s="12" t="n"/>
      <c r="B151" s="12" t="n"/>
      <c r="C151" s="41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</row>
    <row r="152">
      <c r="A152" s="12" t="n"/>
      <c r="B152" s="12" t="n"/>
      <c r="C152" s="41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</row>
    <row r="153">
      <c r="A153" s="12" t="n"/>
      <c r="B153" s="12" t="n"/>
      <c r="C153" s="41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</row>
    <row r="154">
      <c r="A154" s="12" t="n"/>
      <c r="B154" s="12" t="n"/>
      <c r="C154" s="41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</row>
    <row r="155">
      <c r="A155" s="12" t="n"/>
      <c r="B155" s="12" t="n"/>
      <c r="C155" s="41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</row>
    <row r="156">
      <c r="A156" s="12" t="n"/>
      <c r="B156" s="12" t="n"/>
      <c r="C156" s="41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</row>
    <row r="157">
      <c r="A157" s="12" t="n"/>
      <c r="B157" s="12" t="n"/>
      <c r="C157" s="41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</row>
    <row r="158">
      <c r="A158" s="12" t="n"/>
      <c r="B158" s="12" t="n"/>
      <c r="C158" s="41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</row>
    <row r="159">
      <c r="A159" s="12" t="n"/>
      <c r="B159" s="12" t="n"/>
      <c r="C159" s="41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</row>
    <row r="160">
      <c r="A160" s="12" t="n"/>
      <c r="B160" s="12" t="n"/>
      <c r="C160" s="41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</row>
    <row r="161">
      <c r="A161" s="12" t="n"/>
      <c r="B161" s="12" t="n"/>
      <c r="C161" s="41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</row>
    <row r="162">
      <c r="A162" s="12" t="n"/>
      <c r="B162" s="12" t="n"/>
      <c r="C162" s="41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</row>
    <row r="163">
      <c r="A163" s="12" t="n"/>
      <c r="B163" s="12" t="n"/>
      <c r="C163" s="41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</row>
    <row r="164">
      <c r="A164" s="12" t="n"/>
      <c r="B164" s="12" t="n"/>
      <c r="C164" s="41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</row>
    <row r="165">
      <c r="A165" s="12" t="n"/>
      <c r="B165" s="12" t="n"/>
      <c r="C165" s="41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</row>
    <row r="166">
      <c r="A166" s="12" t="n"/>
      <c r="B166" s="12" t="n"/>
      <c r="C166" s="41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</row>
    <row r="167">
      <c r="A167" s="12" t="n"/>
      <c r="B167" s="12" t="n"/>
      <c r="C167" s="41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</row>
    <row r="168">
      <c r="A168" s="12" t="n"/>
      <c r="B168" s="12" t="n"/>
      <c r="C168" s="41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</row>
    <row r="169">
      <c r="A169" s="12" t="n"/>
      <c r="B169" s="12" t="n"/>
      <c r="C169" s="41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</row>
    <row r="170">
      <c r="A170" s="12" t="n"/>
      <c r="B170" s="12" t="n"/>
      <c r="C170" s="41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</row>
    <row r="171">
      <c r="A171" s="12" t="n"/>
      <c r="B171" s="12" t="n"/>
      <c r="C171" s="41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</row>
    <row r="172">
      <c r="A172" s="12" t="n"/>
      <c r="B172" s="12" t="n"/>
      <c r="C172" s="41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</row>
    <row r="173">
      <c r="A173" s="12" t="n"/>
      <c r="B173" s="12" t="n"/>
      <c r="C173" s="41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</row>
    <row r="174">
      <c r="A174" s="12" t="n"/>
      <c r="B174" s="12" t="n"/>
      <c r="C174" s="41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</row>
    <row r="175">
      <c r="A175" s="12" t="n"/>
      <c r="B175" s="12" t="n"/>
      <c r="C175" s="41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</row>
    <row r="176">
      <c r="A176" s="12" t="n"/>
      <c r="B176" s="12" t="n"/>
      <c r="C176" s="41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</row>
    <row r="177">
      <c r="A177" s="12" t="n"/>
      <c r="B177" s="12" t="n"/>
      <c r="C177" s="41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</row>
    <row r="178">
      <c r="A178" s="12" t="n"/>
      <c r="B178" s="12" t="n"/>
      <c r="C178" s="41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</row>
    <row r="179">
      <c r="A179" s="12" t="n"/>
      <c r="B179" s="12" t="n"/>
      <c r="C179" s="41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</row>
    <row r="180">
      <c r="A180" s="12" t="n"/>
      <c r="B180" s="12" t="n"/>
      <c r="C180" s="41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</row>
    <row r="181">
      <c r="A181" s="12" t="n"/>
      <c r="B181" s="12" t="n"/>
      <c r="C181" s="41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</row>
    <row r="182">
      <c r="A182" s="12" t="n"/>
      <c r="B182" s="12" t="n"/>
      <c r="C182" s="41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</row>
    <row r="183">
      <c r="A183" s="12" t="n"/>
      <c r="B183" s="12" t="n"/>
      <c r="C183" s="41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</row>
    <row r="184">
      <c r="A184" s="12" t="n"/>
      <c r="B184" s="12" t="n"/>
      <c r="C184" s="41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</row>
    <row r="185">
      <c r="A185" s="12" t="n"/>
      <c r="B185" s="12" t="n"/>
      <c r="C185" s="41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</row>
    <row r="186">
      <c r="A186" s="12" t="n"/>
      <c r="B186" s="12" t="n"/>
      <c r="C186" s="41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</row>
    <row r="187">
      <c r="A187" s="12" t="n"/>
      <c r="B187" s="12" t="n"/>
      <c r="C187" s="41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</row>
    <row r="188">
      <c r="A188" s="12" t="n"/>
      <c r="B188" s="12" t="n"/>
      <c r="C188" s="41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</row>
    <row r="189">
      <c r="A189" s="12" t="n"/>
      <c r="B189" s="12" t="n"/>
      <c r="C189" s="41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</row>
    <row r="190">
      <c r="A190" s="12" t="n"/>
      <c r="B190" s="12" t="n"/>
      <c r="C190" s="41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</row>
    <row r="191">
      <c r="A191" s="12" t="n"/>
      <c r="B191" s="12" t="n"/>
      <c r="C191" s="41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</row>
    <row r="192">
      <c r="A192" s="12" t="n"/>
      <c r="B192" s="12" t="n"/>
      <c r="C192" s="41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</row>
    <row r="193">
      <c r="A193" s="12" t="n"/>
      <c r="B193" s="12" t="n"/>
      <c r="C193" s="41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</row>
    <row r="194">
      <c r="A194" s="12" t="n"/>
      <c r="B194" s="12" t="n"/>
      <c r="C194" s="41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</row>
    <row r="195">
      <c r="A195" s="12" t="n"/>
      <c r="B195" s="12" t="n"/>
      <c r="C195" s="41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</row>
    <row r="196">
      <c r="A196" s="12" t="n"/>
      <c r="B196" s="12" t="n"/>
      <c r="C196" s="41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</row>
    <row r="197">
      <c r="A197" s="12" t="n"/>
      <c r="B197" s="12" t="n"/>
      <c r="C197" s="41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</row>
    <row r="198">
      <c r="A198" s="12" t="n"/>
      <c r="B198" s="12" t="n"/>
      <c r="C198" s="41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</row>
    <row r="199">
      <c r="A199" s="12" t="n"/>
      <c r="B199" s="12" t="n"/>
      <c r="C199" s="41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</row>
    <row r="200">
      <c r="A200" s="12" t="n"/>
      <c r="B200" s="12" t="n"/>
      <c r="C200" s="41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</row>
  </sheetData>
  <conditionalFormatting sqref="J2:J200">
    <cfRule type="cellIs" priority="1" dxfId="0">
      <formula>"Critical"</formula>
    </cfRule>
    <cfRule type="cellIs" priority="2" dxfId="1">
      <formula>"High"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14" customWidth="1" min="3" max="3"/>
    <col width="52" customWidth="1" min="4" max="4"/>
  </cols>
  <sheetData>
    <row r="1">
      <c r="A1" s="15" t="inlineStr">
        <is>
          <t>Source</t>
        </is>
      </c>
      <c r="B1" s="15" t="inlineStr">
        <is>
          <t>Role in Tracker</t>
        </is>
      </c>
      <c r="C1" s="15" t="inlineStr">
        <is>
          <t>Priority</t>
        </is>
      </c>
      <c r="D1" s="15" t="inlineStr">
        <is>
          <t>Notes</t>
        </is>
      </c>
    </row>
    <row r="2">
      <c r="A2" t="inlineStr">
        <is>
          <t>Bluebonnet News</t>
        </is>
      </c>
      <c r="B2" t="inlineStr">
        <is>
          <t>Local news leads; commissioners, county spending, enforcement, elections</t>
        </is>
      </c>
      <c r="C2" t="inlineStr">
        <is>
          <t>High</t>
        </is>
      </c>
      <c r="D2" t="inlineStr">
        <is>
          <t>Reviewed in this correction pass for Colony Ridge/Liberty County agenda leads.</t>
        </is>
      </c>
    </row>
    <row r="3">
      <c r="A3" t="inlineStr">
        <is>
          <t>The Vindicator</t>
        </is>
      </c>
      <c r="B3" t="inlineStr">
        <is>
          <t>Local weekly news and public discussion leads; drainage, settlements, local government</t>
        </is>
      </c>
      <c r="C3" t="inlineStr">
        <is>
          <t>High</t>
        </is>
      </c>
      <c r="D3" t="inlineStr">
        <is>
          <t>Reviewed in this correction pass; some articles may require subscription/cookie access.</t>
        </is>
      </c>
    </row>
    <row r="4">
      <c r="A4" t="inlineStr">
        <is>
          <t>Houston Chronicle</t>
        </is>
      </c>
      <c r="B4" t="inlineStr">
        <is>
          <t>Regional investigative context; legal notices; politics; floodplain/development analysis</t>
        </is>
      </c>
      <c r="C4" t="inlineStr">
        <is>
          <t>High</t>
        </is>
      </c>
      <c r="D4" t="inlineStr">
        <is>
          <t>Reviewed via search results and available summaries; full text may be paywalled.</t>
        </is>
      </c>
    </row>
    <row r="5">
      <c r="A5" t="inlineStr">
        <is>
          <t>Montgomery County Police Reporter</t>
        </is>
      </c>
      <c r="B5" t="inlineStr">
        <is>
          <t>Public-safety and enforcement leads; regional law-enforcement narrative</t>
        </is>
      </c>
      <c r="C5" t="inlineStr">
        <is>
          <t>Medium</t>
        </is>
      </c>
      <c r="D5" t="inlineStr">
        <is>
          <t>Reviewed as lead source; should be cross-checked against primary agency releases.</t>
        </is>
      </c>
    </row>
    <row r="6">
      <c r="A6" t="inlineStr">
        <is>
          <t>Liberty County Official Website</t>
        </is>
      </c>
      <c r="B6" t="inlineStr">
        <is>
          <t>Primary agendas/minutes; Commissioners Court action control</t>
        </is>
      </c>
      <c r="C6" t="inlineStr">
        <is>
          <t>Critical</t>
        </is>
      </c>
      <c r="D6" t="inlineStr">
        <is>
          <t>Must be used to confirm any county action or vote.</t>
        </is>
      </c>
    </row>
    <row r="7">
      <c r="A7" t="inlineStr">
        <is>
          <t>DOJ / Civil Rights Division</t>
        </is>
      </c>
      <c r="B7" t="inlineStr">
        <is>
          <t>Primary legal/enforcement source</t>
        </is>
      </c>
      <c r="C7" t="inlineStr">
        <is>
          <t>Critical</t>
        </is>
      </c>
      <c r="D7" t="inlineStr">
        <is>
          <t>Controls settlement/lawsuit facts over secondary media.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58" customWidth="1" min="3" max="3"/>
    <col width="48" customWidth="1" min="4" max="4"/>
  </cols>
  <sheetData>
    <row r="1">
      <c r="A1" s="32" t="inlineStr">
        <is>
          <t>Pattern</t>
        </is>
      </c>
      <c r="B1" s="32" t="inlineStr">
        <is>
          <t>Media Lead Alone Is Enough?</t>
        </is>
      </c>
      <c r="C1" s="32" t="inlineStr">
        <is>
          <t>Minimum Confirmation Package</t>
        </is>
      </c>
      <c r="D1" s="32" t="inlineStr">
        <is>
          <t>Upgrade Rule</t>
        </is>
      </c>
    </row>
    <row r="2">
      <c r="A2" t="inlineStr">
        <is>
          <t>County contract/procurement</t>
        </is>
      </c>
      <c r="B2" t="inlineStr">
        <is>
          <t>No</t>
        </is>
      </c>
      <c r="C2" t="inlineStr">
        <is>
          <t>Agenda + minutes + contract/bid tab + Form 1295 + payment/warrants</t>
        </is>
      </c>
      <c r="D2" t="inlineStr">
        <is>
          <t>Finding only after county record confirms action and vendor.</t>
        </is>
      </c>
    </row>
    <row r="3">
      <c r="A3" t="inlineStr">
        <is>
          <t>MUD/MMD infrastructure</t>
        </is>
      </c>
      <c r="B3" t="inlineStr">
        <is>
          <t>No</t>
        </is>
      </c>
      <c r="C3" t="inlineStr">
        <is>
          <t>Public notice + MUD minutes + bid docs + engineer report + bond/reimbursement records</t>
        </is>
      </c>
      <c r="D3" t="inlineStr">
        <is>
          <t>Confirmed only after district record and financial record match.</t>
        </is>
      </c>
    </row>
    <row r="4">
      <c r="A4" t="inlineStr">
        <is>
          <t>Political influence/donor pattern</t>
        </is>
      </c>
      <c r="B4" t="inlineStr">
        <is>
          <t>No</t>
        </is>
      </c>
      <c r="C4" t="inlineStr">
        <is>
          <t>Campaign finance + bill/agenda timing + contract/benefit link + counterfactual review</t>
        </is>
      </c>
      <c r="D4" t="inlineStr">
        <is>
          <t>Do not call conflict without statutory disclosure, familial/financial tie, or official action link.</t>
        </is>
      </c>
    </row>
    <row r="5">
      <c r="A5" t="inlineStr">
        <is>
          <t>Floodplain/drainage externality</t>
        </is>
      </c>
      <c r="B5" t="inlineStr">
        <is>
          <t>No</t>
        </is>
      </c>
      <c r="C5" t="inlineStr">
        <is>
          <t>Drainage study + permits + complaints/flood records + engineering contracts</t>
        </is>
      </c>
      <c r="D5" t="inlineStr">
        <is>
          <t>Upgrade when official engineering/permit records align with reported harm.</t>
        </is>
      </c>
    </row>
    <row r="6">
      <c r="A6" t="inlineStr">
        <is>
          <t>Law enforcement/public safety</t>
        </is>
      </c>
      <c r="B6" t="inlineStr">
        <is>
          <t>No</t>
        </is>
      </c>
      <c r="C6" t="inlineStr">
        <is>
          <t>Agency release + local incident/cost records + budget/agenda tie</t>
        </is>
      </c>
      <c r="D6" t="inlineStr">
        <is>
          <t>Keep narrative separate from corruption unless budget/contract/policy link exists.</t>
        </is>
      </c>
    </row>
    <row r="7">
      <c r="A7" t="inlineStr">
        <is>
          <t>Settlement/enforcement</t>
        </is>
      </c>
      <c r="B7" t="inlineStr">
        <is>
          <t>Sometimes</t>
        </is>
      </c>
      <c r="C7" t="inlineStr">
        <is>
          <t>DOJ/AG release + docket + consent order + compliance terms</t>
        </is>
      </c>
      <c r="D7" t="inlineStr">
        <is>
          <t>Primary-source confirmed once court documents are attached.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44" customWidth="1" min="3" max="3"/>
    <col width="42" customWidth="1" min="4" max="4"/>
    <col width="42" customWidth="1" min="5" max="5"/>
  </cols>
  <sheetData>
    <row r="1">
      <c r="A1" s="38" t="inlineStr">
        <is>
          <t>Run Date</t>
        </is>
      </c>
      <c r="B1" s="38" t="inlineStr">
        <is>
          <t>Search Set</t>
        </is>
      </c>
      <c r="C1" s="38" t="inlineStr">
        <is>
          <t>Sources Included</t>
        </is>
      </c>
      <c r="D1" s="38" t="inlineStr">
        <is>
          <t>Result</t>
        </is>
      </c>
      <c r="E1" s="38" t="inlineStr">
        <is>
          <t>Gap / Limitation</t>
        </is>
      </c>
    </row>
    <row r="2">
      <c r="A2" s="42" t="n">
        <v>46181</v>
      </c>
      <c r="B2" t="inlineStr">
        <is>
          <t>Correction pass after user asked whether news sources were reviewed</t>
        </is>
      </c>
      <c r="C2" t="inlineStr">
        <is>
          <t>Bluebonnet, The Vindicator, Houston Chronicle, Montgomery County Police Reporter, Liberty County official, DOJ</t>
        </is>
      </c>
      <c r="D2" t="inlineStr">
        <is>
          <t>Built first agenda tracker from retrieved public-source leads.</t>
        </is>
      </c>
      <c r="E2" t="inlineStr">
        <is>
          <t>Not exhaustive archive scrape; full text may be paywalled; official records still required.</t>
        </is>
      </c>
    </row>
    <row r="3">
      <c r="A3" s="42" t="n">
        <v>46181</v>
      </c>
      <c r="B3" t="inlineStr">
        <is>
          <t>Primary-record control</t>
        </is>
      </c>
      <c r="C3" t="inlineStr">
        <is>
          <t>Liberty County official agendas/minutes; DOJ</t>
        </is>
      </c>
      <c r="D3" t="inlineStr">
        <is>
          <t>Marked as control sources for confirmation.</t>
        </is>
      </c>
      <c r="E3" t="inlineStr">
        <is>
          <t>Need direct agenda/minute extraction and docket document download for final packet.</t>
        </is>
      </c>
    </row>
    <row r="4">
      <c r="A4" s="42" t="n"/>
    </row>
    <row r="5">
      <c r="A5" s="42" t="n"/>
    </row>
    <row r="6">
      <c r="A6" s="42" t="n"/>
    </row>
    <row r="7">
      <c r="A7" s="42" t="n"/>
    </row>
    <row r="8">
      <c r="A8" s="42" t="n"/>
    </row>
    <row r="9">
      <c r="A9" s="42" t="n"/>
    </row>
    <row r="10">
      <c r="A10" s="42" t="n"/>
    </row>
    <row r="11">
      <c r="A11" s="42" t="n"/>
    </row>
    <row r="12">
      <c r="A12" s="42" t="n"/>
    </row>
    <row r="13">
      <c r="A13" s="42" t="n"/>
    </row>
    <row r="14">
      <c r="A14" s="42" t="n"/>
    </row>
    <row r="15">
      <c r="A15" s="42" t="n"/>
    </row>
    <row r="16">
      <c r="A16" s="42" t="n"/>
    </row>
    <row r="17">
      <c r="A17" s="42" t="n"/>
    </row>
    <row r="18">
      <c r="A18" s="42" t="n"/>
    </row>
    <row r="19">
      <c r="A19" s="42" t="n"/>
    </row>
    <row r="20">
      <c r="A20" s="42" t="n"/>
    </row>
    <row r="21">
      <c r="A21" s="42" t="n"/>
    </row>
    <row r="22">
      <c r="A22" s="42" t="n"/>
    </row>
    <row r="23">
      <c r="A23" s="42" t="n"/>
    </row>
    <row r="24">
      <c r="A24" s="42" t="n"/>
    </row>
    <row r="25">
      <c r="A25" s="42" t="n"/>
    </row>
    <row r="26">
      <c r="A26" s="42" t="n"/>
    </row>
    <row r="27">
      <c r="A27" s="42" t="n"/>
    </row>
    <row r="28">
      <c r="A28" s="42" t="n"/>
    </row>
    <row r="29">
      <c r="A29" s="42" t="n"/>
    </row>
    <row r="30">
      <c r="A30" s="42" t="n"/>
    </row>
    <row r="31">
      <c r="A31" s="42" t="n"/>
    </row>
    <row r="32">
      <c r="A32" s="42" t="n"/>
    </row>
    <row r="33">
      <c r="A33" s="42" t="n"/>
    </row>
    <row r="34">
      <c r="A34" s="42" t="n"/>
    </row>
    <row r="35">
      <c r="A35" s="42" t="n"/>
    </row>
    <row r="36">
      <c r="A36" s="42" t="n"/>
    </row>
    <row r="37">
      <c r="A37" s="42" t="n"/>
    </row>
    <row r="38">
      <c r="A38" s="42" t="n"/>
    </row>
    <row r="39">
      <c r="A39" s="42" t="n"/>
    </row>
    <row r="40">
      <c r="A40" s="42" t="n"/>
    </row>
    <row r="41">
      <c r="A41" s="42" t="n"/>
    </row>
    <row r="42">
      <c r="A42" s="42" t="n"/>
    </row>
    <row r="43">
      <c r="A43" s="42" t="n"/>
    </row>
    <row r="44">
      <c r="A44" s="42" t="n"/>
    </row>
    <row r="45">
      <c r="A45" s="42" t="n"/>
    </row>
    <row r="46">
      <c r="A46" s="42" t="n"/>
    </row>
    <row r="47">
      <c r="A47" s="42" t="n"/>
    </row>
    <row r="48">
      <c r="A48" s="42" t="n"/>
    </row>
    <row r="49">
      <c r="A49" s="42" t="n"/>
    </row>
    <row r="50">
      <c r="A50" s="42" t="n"/>
    </row>
    <row r="51">
      <c r="A51" s="42" t="n"/>
    </row>
    <row r="52">
      <c r="A52" s="42" t="n"/>
    </row>
    <row r="53">
      <c r="A53" s="42" t="n"/>
    </row>
    <row r="54">
      <c r="A54" s="42" t="n"/>
    </row>
    <row r="55">
      <c r="A55" s="42" t="n"/>
    </row>
    <row r="56">
      <c r="A56" s="42" t="n"/>
    </row>
    <row r="57">
      <c r="A57" s="42" t="n"/>
    </row>
    <row r="58">
      <c r="A58" s="42" t="n"/>
    </row>
    <row r="59">
      <c r="A59" s="42" t="n"/>
    </row>
    <row r="60">
      <c r="A60" s="42" t="n"/>
    </row>
    <row r="61">
      <c r="A61" s="42" t="n"/>
    </row>
    <row r="62">
      <c r="A62" s="42" t="n"/>
    </row>
    <row r="63">
      <c r="A63" s="42" t="n"/>
    </row>
    <row r="64">
      <c r="A64" s="42" t="n"/>
    </row>
    <row r="65">
      <c r="A65" s="42" t="n"/>
    </row>
    <row r="66">
      <c r="A66" s="42" t="n"/>
    </row>
    <row r="67">
      <c r="A67" s="42" t="n"/>
    </row>
    <row r="68">
      <c r="A68" s="42" t="n"/>
    </row>
    <row r="69">
      <c r="A69" s="42" t="n"/>
    </row>
    <row r="70">
      <c r="A70" s="42" t="n"/>
    </row>
    <row r="71">
      <c r="A71" s="42" t="n"/>
    </row>
    <row r="72">
      <c r="A72" s="42" t="n"/>
    </row>
    <row r="73">
      <c r="A73" s="42" t="n"/>
    </row>
    <row r="74">
      <c r="A74" s="42" t="n"/>
    </row>
    <row r="75">
      <c r="A75" s="42" t="n"/>
    </row>
    <row r="76">
      <c r="A76" s="42" t="n"/>
    </row>
    <row r="77">
      <c r="A77" s="42" t="n"/>
    </row>
    <row r="78">
      <c r="A78" s="42" t="n"/>
    </row>
    <row r="79">
      <c r="A79" s="42" t="n"/>
    </row>
    <row r="80">
      <c r="A80" s="42" t="n"/>
    </row>
    <row r="81">
      <c r="A81" s="42" t="n"/>
    </row>
    <row r="82">
      <c r="A82" s="42" t="n"/>
    </row>
    <row r="83">
      <c r="A83" s="42" t="n"/>
    </row>
    <row r="84">
      <c r="A84" s="42" t="n"/>
    </row>
    <row r="85">
      <c r="A85" s="42" t="n"/>
    </row>
    <row r="86">
      <c r="A86" s="42" t="n"/>
    </row>
    <row r="87">
      <c r="A87" s="42" t="n"/>
    </row>
    <row r="88">
      <c r="A88" s="42" t="n"/>
    </row>
    <row r="89">
      <c r="A89" s="42" t="n"/>
    </row>
    <row r="90">
      <c r="A90" s="42" t="n"/>
    </row>
    <row r="91">
      <c r="A91" s="42" t="n"/>
    </row>
    <row r="92">
      <c r="A92" s="42" t="n"/>
    </row>
    <row r="93">
      <c r="A93" s="42" t="n"/>
    </row>
    <row r="94">
      <c r="A94" s="42" t="n"/>
    </row>
    <row r="95">
      <c r="A95" s="42" t="n"/>
    </row>
    <row r="96">
      <c r="A96" s="42" t="n"/>
    </row>
    <row r="97">
      <c r="A97" s="42" t="n"/>
    </row>
    <row r="98">
      <c r="A98" s="42" t="n"/>
    </row>
    <row r="99">
      <c r="A99" s="42" t="n"/>
    </row>
    <row r="100">
      <c r="A100" s="42" t="n"/>
    </row>
    <row r="101">
      <c r="A101" s="42" t="n"/>
    </row>
    <row r="102">
      <c r="A102" s="42" t="n"/>
    </row>
    <row r="103">
      <c r="A103" s="42" t="n"/>
    </row>
    <row r="104">
      <c r="A104" s="42" t="n"/>
    </row>
    <row r="105">
      <c r="A105" s="42" t="n"/>
    </row>
    <row r="106">
      <c r="A106" s="42" t="n"/>
    </row>
    <row r="107">
      <c r="A107" s="42" t="n"/>
    </row>
    <row r="108">
      <c r="A108" s="42" t="n"/>
    </row>
    <row r="109">
      <c r="A109" s="42" t="n"/>
    </row>
    <row r="110">
      <c r="A110" s="42" t="n"/>
    </row>
    <row r="111">
      <c r="A111" s="42" t="n"/>
    </row>
    <row r="112">
      <c r="A112" s="42" t="n"/>
    </row>
    <row r="113">
      <c r="A113" s="42" t="n"/>
    </row>
    <row r="114">
      <c r="A114" s="42" t="n"/>
    </row>
    <row r="115">
      <c r="A115" s="42" t="n"/>
    </row>
    <row r="116">
      <c r="A116" s="42" t="n"/>
    </row>
    <row r="117">
      <c r="A117" s="42" t="n"/>
    </row>
    <row r="118">
      <c r="A118" s="42" t="n"/>
    </row>
    <row r="119">
      <c r="A119" s="42" t="n"/>
    </row>
    <row r="120">
      <c r="A120" s="42" t="n"/>
    </row>
    <row r="121">
      <c r="A121" s="42" t="n"/>
    </row>
    <row r="122">
      <c r="A122" s="42" t="n"/>
    </row>
    <row r="123">
      <c r="A123" s="42" t="n"/>
    </row>
    <row r="124">
      <c r="A124" s="42" t="n"/>
    </row>
    <row r="125">
      <c r="A125" s="42" t="n"/>
    </row>
    <row r="126">
      <c r="A126" s="42" t="n"/>
    </row>
    <row r="127">
      <c r="A127" s="42" t="n"/>
    </row>
    <row r="128">
      <c r="A128" s="42" t="n"/>
    </row>
    <row r="129">
      <c r="A129" s="42" t="n"/>
    </row>
    <row r="130">
      <c r="A130" s="42" t="n"/>
    </row>
    <row r="131">
      <c r="A131" s="42" t="n"/>
    </row>
    <row r="132">
      <c r="A132" s="42" t="n"/>
    </row>
    <row r="133">
      <c r="A133" s="42" t="n"/>
    </row>
    <row r="134">
      <c r="A134" s="42" t="n"/>
    </row>
    <row r="135">
      <c r="A135" s="42" t="n"/>
    </row>
    <row r="136">
      <c r="A136" s="42" t="n"/>
    </row>
    <row r="137">
      <c r="A137" s="42" t="n"/>
    </row>
    <row r="138">
      <c r="A138" s="42" t="n"/>
    </row>
    <row r="139">
      <c r="A139" s="42" t="n"/>
    </row>
    <row r="140">
      <c r="A140" s="42" t="n"/>
    </row>
    <row r="141">
      <c r="A141" s="42" t="n"/>
    </row>
    <row r="142">
      <c r="A142" s="42" t="n"/>
    </row>
    <row r="143">
      <c r="A143" s="42" t="n"/>
    </row>
    <row r="144">
      <c r="A144" s="42" t="n"/>
    </row>
    <row r="145">
      <c r="A145" s="42" t="n"/>
    </row>
    <row r="146">
      <c r="A146" s="42" t="n"/>
    </row>
    <row r="147">
      <c r="A147" s="42" t="n"/>
    </row>
    <row r="148">
      <c r="A148" s="42" t="n"/>
    </row>
    <row r="149">
      <c r="A149" s="42" t="n"/>
    </row>
    <row r="150">
      <c r="A150" s="42" t="n"/>
    </row>
    <row r="151">
      <c r="A151" s="42" t="n"/>
    </row>
    <row r="152">
      <c r="A152" s="42" t="n"/>
    </row>
    <row r="153">
      <c r="A153" s="42" t="n"/>
    </row>
    <row r="154">
      <c r="A154" s="42" t="n"/>
    </row>
    <row r="155">
      <c r="A155" s="42" t="n"/>
    </row>
    <row r="156">
      <c r="A156" s="42" t="n"/>
    </row>
    <row r="157">
      <c r="A157" s="42" t="n"/>
    </row>
    <row r="158">
      <c r="A158" s="42" t="n"/>
    </row>
    <row r="159">
      <c r="A159" s="42" t="n"/>
    </row>
    <row r="160">
      <c r="A160" s="42" t="n"/>
    </row>
    <row r="161">
      <c r="A161" s="42" t="n"/>
    </row>
    <row r="162">
      <c r="A162" s="42" t="n"/>
    </row>
    <row r="163">
      <c r="A163" s="42" t="n"/>
    </row>
    <row r="164">
      <c r="A164" s="42" t="n"/>
    </row>
    <row r="165">
      <c r="A165" s="42" t="n"/>
    </row>
    <row r="166">
      <c r="A166" s="42" t="n"/>
    </row>
    <row r="167">
      <c r="A167" s="42" t="n"/>
    </row>
    <row r="168">
      <c r="A168" s="42" t="n"/>
    </row>
    <row r="169">
      <c r="A169" s="42" t="n"/>
    </row>
    <row r="170">
      <c r="A170" s="42" t="n"/>
    </row>
    <row r="171">
      <c r="A171" s="42" t="n"/>
    </row>
    <row r="172">
      <c r="A172" s="42" t="n"/>
    </row>
    <row r="173">
      <c r="A173" s="42" t="n"/>
    </row>
    <row r="174">
      <c r="A174" s="42" t="n"/>
    </row>
    <row r="175">
      <c r="A175" s="42" t="n"/>
    </row>
    <row r="176">
      <c r="A176" s="42" t="n"/>
    </row>
    <row r="177">
      <c r="A177" s="42" t="n"/>
    </row>
    <row r="178">
      <c r="A178" s="42" t="n"/>
    </row>
    <row r="179">
      <c r="A179" s="42" t="n"/>
    </row>
    <row r="180">
      <c r="A180" s="42" t="n"/>
    </row>
    <row r="181">
      <c r="A181" s="42" t="n"/>
    </row>
    <row r="182">
      <c r="A182" s="42" t="n"/>
    </row>
    <row r="183">
      <c r="A183" s="42" t="n"/>
    </row>
    <row r="184">
      <c r="A184" s="42" t="n"/>
    </row>
    <row r="185">
      <c r="A185" s="42" t="n"/>
    </row>
    <row r="186">
      <c r="A186" s="42" t="n"/>
    </row>
    <row r="187">
      <c r="A187" s="42" t="n"/>
    </row>
    <row r="188">
      <c r="A188" s="42" t="n"/>
    </row>
    <row r="189">
      <c r="A189" s="42" t="n"/>
    </row>
    <row r="190">
      <c r="A190" s="42" t="n"/>
    </row>
    <row r="191">
      <c r="A191" s="42" t="n"/>
    </row>
    <row r="192">
      <c r="A192" s="42" t="n"/>
    </row>
    <row r="193">
      <c r="A193" s="42" t="n"/>
    </row>
    <row r="194">
      <c r="A194" s="42" t="n"/>
    </row>
    <row r="195">
      <c r="A195" s="42" t="n"/>
    </row>
    <row r="196">
      <c r="A196" s="42" t="n"/>
    </row>
    <row r="197">
      <c r="A197" s="42" t="n"/>
    </row>
    <row r="198">
      <c r="A198" s="42" t="n"/>
    </row>
    <row r="199">
      <c r="A199" s="42" t="n"/>
    </row>
    <row r="200">
      <c r="A200" s="4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2026-07-04T03:58:09Z</dcterms:created>
  <dcterms:modified xmlns:dcterms="http://purl.org/dc/terms/" xmlns:xsi="http://www.w3.org/2001/XMLSchema-instance" xsi:type="dcterms:W3CDTF">2026-07-04T04:35:26Z</dcterms:modified>
</cp:coreProperties>
</file>